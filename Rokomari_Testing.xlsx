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 state="visible" name="Bug report" sheetId="2" r:id="rId6"/>
    <sheet state="visible" name="Test scenarios" sheetId="3" r:id="rId7"/>
    <sheet state="visible" name="Mind map" sheetId="4" r:id="rId8"/>
  </sheets>
  <definedNames/>
  <calcPr/>
</workbook>
</file>

<file path=xl/sharedStrings.xml><?xml version="1.0" encoding="utf-8"?>
<sst xmlns="http://schemas.openxmlformats.org/spreadsheetml/2006/main" count="307" uniqueCount="233">
  <si>
    <t>Click here to see the Bug Report of  Rokomari001</t>
  </si>
  <si>
    <t>Product Name</t>
  </si>
  <si>
    <t>Click here to see the Bug report of TC_Rokomari004</t>
  </si>
  <si>
    <t>Rokomari</t>
  </si>
  <si>
    <t>TC Start Date</t>
  </si>
  <si>
    <t>15-06-2026</t>
  </si>
  <si>
    <t>TC Execution Start Date</t>
  </si>
  <si>
    <t>TEST CASE</t>
  </si>
  <si>
    <t>Project Name</t>
  </si>
  <si>
    <t>Module Name</t>
  </si>
  <si>
    <t xml:space="preserve">E-book, Check all categories, Read book feature before buy, </t>
  </si>
  <si>
    <t>TC End Date</t>
  </si>
  <si>
    <t>TC Execution End Date</t>
  </si>
  <si>
    <t>PASS</t>
  </si>
  <si>
    <t>Reference Document</t>
  </si>
  <si>
    <t>Epic</t>
  </si>
  <si>
    <t>Created By</t>
  </si>
  <si>
    <t>Muhammed Jabed Iqbal Sami</t>
  </si>
  <si>
    <t>Test Case Developed By</t>
  </si>
  <si>
    <t>Browser (tested)</t>
  </si>
  <si>
    <t>Yes</t>
  </si>
  <si>
    <t>Creation Date</t>
  </si>
  <si>
    <t>FAIL</t>
  </si>
  <si>
    <t>Developer Name (TL)</t>
  </si>
  <si>
    <t>Approval Date</t>
  </si>
  <si>
    <t>Test Case Reviewed By</t>
  </si>
  <si>
    <t>Performance (tested)</t>
  </si>
  <si>
    <t>22-08-2023</t>
  </si>
  <si>
    <t>Brave 1.95.104 (Official Build) (64-bit)
Chromium: 153.0.8010.53</t>
  </si>
  <si>
    <t>Not Executed</t>
  </si>
  <si>
    <t>Test Scenario ID</t>
  </si>
  <si>
    <t xml:space="preserve"> Reference</t>
  </si>
  <si>
    <t>Test Executed by</t>
  </si>
  <si>
    <t>Test Scenario Description</t>
  </si>
  <si>
    <t>Priority</t>
  </si>
  <si>
    <t>Number of Test Cases</t>
  </si>
  <si>
    <t>TS_001</t>
  </si>
  <si>
    <t>Validate the working of the "Filter UI &amp; Page Reload" functionality.</t>
  </si>
  <si>
    <t>P2</t>
  </si>
  <si>
    <t>TS_002</t>
  </si>
  <si>
    <t>Out of Scope</t>
  </si>
  <si>
    <t>Validate the working of the "Ratings Filter" functionality.</t>
  </si>
  <si>
    <t>P1</t>
  </si>
  <si>
    <t>TS_003</t>
  </si>
  <si>
    <t>Validate the working of the "Newly Released Filter" functionality.</t>
  </si>
  <si>
    <t>TOTAL Executed</t>
  </si>
  <si>
    <t>P3</t>
  </si>
  <si>
    <t>TC_ID</t>
  </si>
  <si>
    <t>Module</t>
  </si>
  <si>
    <t>TS_004</t>
  </si>
  <si>
    <t>Type of Testing</t>
  </si>
  <si>
    <t>Validate the working of the "Price Filter (BVA)" functionality.</t>
  </si>
  <si>
    <t>Features</t>
  </si>
  <si>
    <t>Test Cases Descripton</t>
  </si>
  <si>
    <t>Expected Result</t>
  </si>
  <si>
    <t>Actual Result</t>
  </si>
  <si>
    <t>Test Data</t>
  </si>
  <si>
    <t>Reproducing
Steps</t>
  </si>
  <si>
    <t xml:space="preserve">Bug Screen Shot </t>
  </si>
  <si>
    <t>Dev Comments</t>
  </si>
  <si>
    <t>Final Status</t>
  </si>
  <si>
    <t>Remarks</t>
  </si>
  <si>
    <t>TS_005</t>
  </si>
  <si>
    <t>Validate the working of the "Language Filter" functionality.</t>
  </si>
  <si>
    <t>Rokomari_001</t>
  </si>
  <si>
    <t>TS_006</t>
  </si>
  <si>
    <t>Validate the working of the "Publisher Filter" functionality.</t>
  </si>
  <si>
    <t>E-Book</t>
  </si>
  <si>
    <t>Usability Testing / UI</t>
  </si>
  <si>
    <t>Search &amp; Filter System</t>
  </si>
  <si>
    <t>Verify the search filter selection behavior when multiple filter options are chosen sequentially.</t>
  </si>
  <si>
    <t>The system should allow the user to select multiple filters without disruptive full-page reloads. It should provide an 'Apply/OK' button to batch-submit all selected criteria at once.</t>
  </si>
  <si>
    <t>TS_007</t>
  </si>
  <si>
    <t>The website triggers an immediate full-page refresh/reload upon selecting any single filter option. There is no 'OK' or 'Apply' button to submit multiple filters together, causing multiple jarring reloads during selection.</t>
  </si>
  <si>
    <t>Validate the working of the "Author Filter" functionality.</t>
  </si>
  <si>
    <t>Filter Criteria: Category, Author, Rating, Price Range.</t>
  </si>
  <si>
    <t>TS_008</t>
  </si>
  <si>
    <t>Validate the working of the "Price Sorting" functionality.</t>
  </si>
  <si>
    <r>
      <rPr>
        <rFont val="Calibri"/>
        <color rgb="FF000000"/>
        <sz val="11.0"/>
        <u/>
      </rPr>
      <t>1. Open a browser and go:</t>
    </r>
    <r>
      <rPr>
        <rFont val="Calibri"/>
        <color rgb="FF1155CC"/>
        <sz val="11.0"/>
        <u/>
      </rPr>
      <t>Rokomari_eBook</t>
    </r>
    <r>
      <rPr>
        <rFont val="Calibri"/>
        <color rgb="FF000000"/>
        <sz val="11.0"/>
        <u/>
      </rPr>
      <t xml:space="preserve">
2. Go to the sidebar filter section.
3. Click on any single filter checkbox (e.g., a specific Category).
4. Observe the immediate hard full-page reload.
5. Attempt to select a second filter checkbox (e.g., a five-star Rating) immediately after, and notice the page reloads fully a second time, disrupting the flow.</t>
    </r>
  </si>
  <si>
    <t>TS_009</t>
  </si>
  <si>
    <t>Validate the working of the "Discount Sorting" functionality</t>
  </si>
  <si>
    <t>TS_010</t>
  </si>
  <si>
    <t>Validate the working of the "Live Chat Box" functionality.</t>
  </si>
  <si>
    <t>P4</t>
  </si>
  <si>
    <t>TS_011</t>
  </si>
  <si>
    <t>Validate the working of the "একটু পড়ে দেখুন (Book Preview)" functionality.</t>
  </si>
  <si>
    <t>TS_012</t>
  </si>
  <si>
    <t>Validate the working of the "Hard Copy Order Delivery Logic" functionality.</t>
  </si>
  <si>
    <t>TS_013</t>
  </si>
  <si>
    <t>Validate the working of the "Payment Gateways (bKash, Nagad, Card)" functionality.</t>
  </si>
  <si>
    <t>P0</t>
  </si>
  <si>
    <t>Bug_Screen record</t>
  </si>
  <si>
    <t>Failed</t>
  </si>
  <si>
    <t>Major usability flaw in the multi-criteria filtering layout. The system triggers an automatic full-page reload immediately upon selecting any single filter option. For users applying multiple criteria, this creates repetitive page flashes and forces them to re-scroll down to the filter panel multiple times. While functionally operational, the current implementation severely disrupts the user journey.
Recommendation: Implement an explicit 'Apply Filters' button to batch-submit selections, or transition to an AJAX-based asynchronous loading model to update content dynamically without full-page refreshes.</t>
  </si>
  <si>
    <t>Rokomari_002</t>
  </si>
  <si>
    <t>Functional Testing</t>
  </si>
  <si>
    <t>Ratings Filter</t>
  </si>
  <si>
    <t>Verify that the ratings filter accurately restricts displayed books to the selected rating tier.</t>
  </si>
  <si>
    <t>The system should exclusively display books that match the selected star rating.</t>
  </si>
  <si>
    <t>Books that do not match the selected rating tier (e.g., 3 or 4-star books) are visible under the 5-star filter.</t>
  </si>
  <si>
    <t>1. Safari
2. Google Chrome
3. Firefox
4. Edges</t>
  </si>
  <si>
    <r>
      <rPr>
        <rFont val="Calibri"/>
        <color theme="1"/>
        <sz val="11.0"/>
      </rPr>
      <t>1. Open a browser and go:</t>
    </r>
    <r>
      <rPr>
        <rFont val="Calibri"/>
        <color rgb="FF1155CC"/>
        <sz val="11.0"/>
        <u/>
      </rPr>
      <t>Rokomari_eBook</t>
    </r>
    <r>
      <rPr>
        <rFont val="Calibri"/>
        <color theme="1"/>
        <sz val="11.0"/>
      </rPr>
      <t xml:space="preserve">
2. Seclect Sort filter to Best seller.
3. Select the '5 Star' option under the Ratings filter.
4. Observe the displayed list and locate the book 'ইতিকাফ - আত্মগঠনের দিবস দশক'.</t>
    </r>
  </si>
  <si>
    <t>Bug02 screen record</t>
  </si>
  <si>
    <t>The book 'ইতিকাফ - আত্মগঠনের দিবস দশক' currently holds a lower user rating (4.5 stars) but incorrectly populates in the 5-star filtered results, indicating a defect in the filter indexing or backend calculation logic.</t>
  </si>
  <si>
    <t>Rokomari_003</t>
  </si>
  <si>
    <t>Books that do not match the selected rating tier (e.g., 4.5-star books) are visible under the 4-star filter.</t>
  </si>
  <si>
    <r>
      <rPr>
        <rFont val="Calibri"/>
        <color theme="1"/>
        <sz val="11.0"/>
      </rPr>
      <t>1. Open a browser and go:</t>
    </r>
    <r>
      <rPr>
        <rFont val="Calibri"/>
        <color rgb="FF1155CC"/>
        <sz val="11.0"/>
        <u/>
      </rPr>
      <t>Rokomari_eBook</t>
    </r>
    <r>
      <rPr>
        <rFont val="Calibri"/>
        <color theme="1"/>
        <sz val="11.0"/>
      </rPr>
      <t xml:space="preserve">
2. Seclect Sort filter to Best seller.
3. Select the '4 Star' option under the Ratings filter.
4. Observe the displayed list and locate the book 'ইংলিশে দুর্বলদের জন্য - English Therapy'.</t>
    </r>
  </si>
  <si>
    <t>The book 'ইংলিশে দুর্বলদের জন্য - English Therapy' currently holds a higher user rating (4.5 stars) but incorrectly populates in the 4-star filtered results, indicating a defect in the filter indexing or backend calculation logic.</t>
  </si>
  <si>
    <t>Rokomari_004</t>
  </si>
  <si>
    <t>Books that do not match the selected rating tier (e.g., 4.5-star books) are visible under the 1-star filter.</t>
  </si>
  <si>
    <r>
      <rPr>
        <rFont val="Calibri"/>
        <color theme="1"/>
        <sz val="11.0"/>
      </rPr>
      <t>1. Open a browser and go:</t>
    </r>
    <r>
      <rPr>
        <rFont val="Calibri"/>
        <color rgb="FF1155CC"/>
        <sz val="11.0"/>
        <u/>
      </rPr>
      <t>Rokomari_eBook</t>
    </r>
    <r>
      <rPr>
        <rFont val="Calibri"/>
        <color theme="1"/>
        <sz val="11.0"/>
      </rPr>
      <t xml:space="preserve">
2. Seclect Sort filter to Best seller.
3. Select the '1 Star' option under the Ratings filter.
4. Observe the displayed list and locate the book 'না বলতে শিখুন'.</t>
    </r>
  </si>
  <si>
    <t>The book 'না বলতে শিখুন' currently holds a higher user rating (4.5 stars) but incorrectly populates in the 1-star filtered results, indicating a defect in the filter indexing or backend calculation logic.</t>
  </si>
  <si>
    <t>Rokomari_005</t>
  </si>
  <si>
    <t>New Released filter</t>
  </si>
  <si>
    <t>Verify that the 'Newly Released' filter accurately populates and displays e-books based on their recent publication or upload date.</t>
  </si>
  <si>
    <t>The system should successfully filter the book grid to display only recently released e-books, ordered chronologically with the newest titles appearing first.</t>
  </si>
  <si>
    <t>The filter functions as expected. The book listing updates smoothly to showcase recently published e-books in the correct order.</t>
  </si>
  <si>
    <t>Filter Criteria: 'New Released'</t>
  </si>
  <si>
    <r>
      <rPr>
        <rFont val="Calibri"/>
        <color theme="1"/>
        <sz val="11.0"/>
      </rPr>
      <t>1. Open a browser and go:</t>
    </r>
    <r>
      <rPr>
        <rFont val="Calibri"/>
        <color rgb="FF1155CC"/>
        <sz val="11.0"/>
        <u/>
      </rPr>
      <t>Rokomari_eBook</t>
    </r>
    <r>
      <rPr>
        <rFont val="Calibri"/>
        <color theme="1"/>
        <sz val="11.0"/>
      </rPr>
      <t xml:space="preserve">
2. Locate the sidebar or top sorting filter options.
3. Click on the 'Newly Released' filter checkbox or option.
4. Inspect the publication details or release badges of the top displayed books to verify recency.</t>
    </r>
  </si>
  <si>
    <t>Passed</t>
  </si>
  <si>
    <t>Feature is working within acceptable functional parameters. Content updates accurately and respects the publication timeline</t>
  </si>
  <si>
    <t>Rokomari_006</t>
  </si>
  <si>
    <t>Price - Low to High
Price - High to Low</t>
  </si>
  <si>
    <t>Verify that 'Price: High to Low' and 'Price: Low to High' sorting options arrange the e-book listing in accurate numerical order.</t>
  </si>
  <si>
    <t>Selecting 'High to Low' must display e-books from the highest price to the lowest. Selecting 'Low to High' must reverse the grid, displaying items from the lowest price to the highest.</t>
  </si>
  <si>
    <t>The e-book list sorts accurately according to both selected numerical sequence criteria without omitting data.</t>
  </si>
  <si>
    <t>Sorting Options: 'Price: High to Low', 'Price: Low to High'</t>
  </si>
  <si>
    <r>
      <rPr>
        <rFont val="Calibri"/>
        <color theme="1"/>
        <sz val="11.0"/>
      </rPr>
      <t>1. Open a browser and go:</t>
    </r>
    <r>
      <rPr>
        <rFont val="Calibri"/>
        <color rgb="FF1155CC"/>
        <sz val="11.0"/>
        <u/>
      </rPr>
      <t>Rokomari_eBook</t>
    </r>
    <r>
      <rPr>
        <rFont val="Calibri"/>
        <color theme="1"/>
        <sz val="11.0"/>
      </rPr>
      <t xml:space="preserve">
2. Select 'Price: High to Low' from the sorting menu and verify that book prices decrease down the feed.
3. Select 'Price: Low to High' from the sorting menu and verify that book prices increase sequentially.</t>
    </r>
  </si>
  <si>
    <t>Both sorting mechanisms function within expected parameters. Page values update seamlessly to mirror the selected arrangement logic.</t>
  </si>
  <si>
    <t>Rokomari_007</t>
  </si>
  <si>
    <t>Price Filter</t>
  </si>
  <si>
    <t>Verify the price range input filter using Boundary Value Analysis (BVA) to ensure the system strictly restricts displayed e-books within defined upper and lower monetary thresholds.</t>
  </si>
  <si>
    <t>The system should display only e-books whose prices fall strictly inside or exactly on the specified Min and Max boundaries. Invalid boundary conditions (e.g., negative inputs) should be handled gracefully or blocked.</t>
  </si>
  <si>
    <t>The system accurately isolates and renders the e-book grid to align perfectly with the specified boundary inputs.</t>
  </si>
  <si>
    <t xml:space="preserve">BVA Datasets: [Min: 0, Max: 1600] , [Min: 1, Max: 1600] , [Min: 0, Max: 1599] , [Min: 1, Max: 1599] </t>
  </si>
  <si>
    <r>
      <rPr>
        <rFont val="Calibri"/>
        <color rgb="FF000000"/>
        <sz val="11.0"/>
        <u/>
      </rPr>
      <t>1. Open a browser and go:</t>
    </r>
    <r>
      <rPr>
        <rFont val="Calibri"/>
        <color rgb="FF1155CC"/>
        <sz val="11.0"/>
        <u/>
      </rPr>
      <t>Rokomari_eBook</t>
    </r>
    <r>
      <rPr>
        <rFont val="Calibri"/>
        <color rgb="FF000000"/>
        <sz val="11.0"/>
        <u/>
      </rPr>
      <t xml:space="preserve">
2. Locate the custom Price Range input fields (Min/Max).
3. Input the valid boundary values from the dataset into the Min and Max fields respectively and submit.
4. Crosscheck the individual prices of the filtered books against the applied thresholds.</t>
    </r>
  </si>
  <si>
    <t>Boundary Value Analysis executed successfully. The database queries accurately process extreme inputs and return mathematically precise product records.</t>
  </si>
  <si>
    <t>Rokomari_008</t>
  </si>
  <si>
    <t>Discount - Low to High</t>
  </si>
  <si>
    <t>Verify that the 'Discount - Low to High' sorting option accurately calculates and arranges the e-books based on ascending discount percentages.</t>
  </si>
  <si>
    <t>The e-book grid should display products starting from the lowest discount percentage moving up to the highest. All product links should remain active and navigate to their respective detail pages.</t>
  </si>
  <si>
    <t>The mathematical sorting sequence works perfectly, accurately ordering items from lowest to highest discount. However, a critical routing issue occurs where clicking any of the first three (3) books in this sorted view redirects the user to the Rokomari home page.</t>
  </si>
  <si>
    <t>Sorting Option: 'Discount - Low to High'</t>
  </si>
  <si>
    <r>
      <rPr>
        <rFont val="Calibri"/>
        <color theme="1"/>
        <sz val="11.0"/>
      </rPr>
      <t>1. Open a browser and go:</t>
    </r>
    <r>
      <rPr>
        <rFont val="Calibri"/>
        <color rgb="FF1155CC"/>
        <sz val="11.0"/>
        <u/>
      </rPr>
      <t>Rokomari_eBook</t>
    </r>
    <r>
      <rPr>
        <rFont val="Calibri"/>
        <color theme="1"/>
        <sz val="11.0"/>
      </rPr>
      <t xml:space="preserve">
2. Select 'Discount - Low to High' from the sorting menu.
3. Attempt to click on the 1st, 2nd, and 3rd books to verify target page navigation.</t>
    </r>
  </si>
  <si>
    <t>Bug04 screen record</t>
  </si>
  <si>
    <t>The backend filtration and sorting mathematics are perfectly accurate. However, the test must be marked FAILED because the underlying URL parameters for the top 3 sorted items break, disrupting user navigation by defaulting them back to the home page.</t>
  </si>
  <si>
    <t>Rokomari_009</t>
  </si>
  <si>
    <t>Discount - High to Low</t>
  </si>
  <si>
    <t>Verify that the 'Discount - High to Low' sorting option accurately calculates and arranges the e-books based on ascending discount percentages.</t>
  </si>
  <si>
    <t xml:space="preserve">The mathematical sorting sequence works perfectly, accurately ordering items from High to Low discount. </t>
  </si>
  <si>
    <t>Sorting Option: 'Discount - High to Low'</t>
  </si>
  <si>
    <r>
      <rPr>
        <rFont val="Calibri"/>
        <color theme="1"/>
        <sz val="11.0"/>
      </rPr>
      <t>1. Open a browser and go:</t>
    </r>
    <r>
      <rPr>
        <rFont val="Calibri"/>
        <color rgb="FF1155CC"/>
        <sz val="11.0"/>
        <u/>
      </rPr>
      <t>Rokomari_eBook</t>
    </r>
    <r>
      <rPr>
        <rFont val="Calibri"/>
        <color theme="1"/>
        <sz val="11.0"/>
      </rPr>
      <t xml:space="preserve">
2. Select 'Discount - Hight to Low  from the sorting menu.
3. Attempt to click on the 1st, 2nd, and 3rd books to verify target page navigation.</t>
    </r>
  </si>
  <si>
    <t xml:space="preserve">The backend filtration and sorting mathematics are perfectly accurate. </t>
  </si>
  <si>
    <t>Rokomari_010</t>
  </si>
  <si>
    <t>Language filter</t>
  </si>
  <si>
    <t>Verify that filtering e-books by language (e.g., Bangla, English) accurately restricts the book listing to the selected language tier.</t>
  </si>
  <si>
    <t>The book grid should dynamically update to display only e-books written in the selected language.</t>
  </si>
  <si>
    <t>The system filters the grid successfully; only books matching the selected language criteria are rendered.</t>
  </si>
  <si>
    <t>Filter Options: 'Bangla', 'English'</t>
  </si>
  <si>
    <r>
      <rPr>
        <rFont val="Calibri"/>
        <color theme="1"/>
        <sz val="11.0"/>
      </rPr>
      <t>1. Open a browser and go:</t>
    </r>
    <r>
      <rPr>
        <rFont val="Calibri"/>
        <color rgb="FF1155CC"/>
        <sz val="11.0"/>
        <u/>
      </rPr>
      <t>Rokomari_eBook</t>
    </r>
    <r>
      <rPr>
        <rFont val="Calibri"/>
        <color theme="1"/>
        <sz val="11.0"/>
      </rPr>
      <t xml:space="preserve">
2. Locate the 'Language' filter section in the sidebar.
3. Check a specific language option (e.g., 'English').
4. Inspect the book details/metadata of the displayed items to verify language accuracy.</t>
    </r>
  </si>
  <si>
    <t>The language filtration backend query operates correctly. Content matches the designated language criteria flawlessly.</t>
  </si>
  <si>
    <t>Rokomari_011</t>
  </si>
  <si>
    <t>Publisher Filter</t>
  </si>
  <si>
    <t>Verify that filtering e-books by publisher accurately isolates and displays titles belonging exclusively to the selected publishing house.</t>
  </si>
  <si>
    <t>The book listing should update to show only the titles associated with the checked publisher option.</t>
  </si>
  <si>
    <t>The layout correctly updates and renders books published solely by the selected publishing firm.</t>
  </si>
  <si>
    <t>Filter Option: "মেঘনা পাবলিকেশন্স"</t>
  </si>
  <si>
    <r>
      <rPr>
        <rFont val="Calibri"/>
        <color theme="1"/>
        <sz val="11.0"/>
      </rPr>
      <t>1. Open a browser and go:</t>
    </r>
    <r>
      <rPr>
        <rFont val="Calibri"/>
        <color rgb="FF1155CC"/>
        <sz val="11.0"/>
        <u/>
      </rPr>
      <t>Rokomari_eBook</t>
    </r>
    <r>
      <rPr>
        <rFont val="Calibri"/>
        <color theme="1"/>
        <sz val="11.0"/>
      </rPr>
      <t xml:space="preserve">
2. Scroll to the 'Publisher' filter block.
3. Select a specific publisher checkbox (eg. মেঘনা পাবলিকেশন্স).
4. Validate that all returned items belong to the selected publishing house.</t>
    </r>
  </si>
  <si>
    <t>Database queries map correctly to publisher IDs. No cross-contamination of publishing houses observed in the results.</t>
  </si>
  <si>
    <t>Rokomari_012</t>
  </si>
  <si>
    <t>Author Filter</t>
  </si>
  <si>
    <t>Verify that filtering e-books by author successfully refines the grid to display titles written exclusively by the selected author.</t>
  </si>
  <si>
    <t>The system should retrieve and show only the e-books authored by the chosen individual.</t>
  </si>
  <si>
    <t>Filter Option: "রবীন্দ্রনাথ ঠাকুর"</t>
  </si>
  <si>
    <r>
      <rPr>
        <rFont val="Calibri"/>
        <color rgb="FF000000"/>
        <sz val="11.0"/>
        <u/>
      </rPr>
      <t>1. Open a browser and go:</t>
    </r>
    <r>
      <rPr>
        <rFont val="Calibri"/>
        <color rgb="FF1155CC"/>
        <sz val="11.0"/>
        <u/>
      </rPr>
      <t>Rokomari_eBook</t>
    </r>
    <r>
      <rPr>
        <rFont val="Calibri"/>
        <color rgb="FF000000"/>
        <sz val="11.0"/>
        <u/>
      </rPr>
      <t xml:space="preserve">
2. Navigate to the 'Author' filter checkbox list.
3. Select a specific author (eg. রবীন্দ্রনাথ ঠাকুর).
4. Verify that the author attribution on all displayed book cards matches the selection.</t>
    </r>
  </si>
  <si>
    <t>The author index filter functions within acceptable operational parameters. Multi-author scenarios (if applicable) resolve correctly.</t>
  </si>
  <si>
    <t>Rokomari_013</t>
  </si>
  <si>
    <t>Live Chat / Customer Support</t>
  </si>
  <si>
    <t>Verify the functionality of the Live Chat widget on the E-book page, including opening, sending a message, and closing the widget.</t>
  </si>
  <si>
    <t>The chat widget should open promptly upon clicking. Users should be able to input text, send a message successfully, and minimize/close the widget without affecting the main page.</t>
  </si>
  <si>
    <t>The chat widget opens smoothly, accepts text input, sends the message successfully, and minimizes properly as expected. No UI overlaps or functional lags observed.</t>
  </si>
  <si>
    <t>Test Message: "Hello, I have found some bugs in the website."</t>
  </si>
  <si>
    <t>1. Open a browser and go to the Rokomari eBook page.
2. Locate and click on the Live Chat widget icon (bottom right).
3. Type a sample query in the text input field.
4. Click the 'Send' button</t>
  </si>
  <si>
    <t>The live chat feature is functioning perfectly within expected parameters. Seamless user interaction and response observed.</t>
  </si>
  <si>
    <t>Rokomari_014</t>
  </si>
  <si>
    <t>Book Preview / "একটু পড়ে দেখুন"</t>
  </si>
  <si>
    <t>Verify that clicking on a book with the green "একটু পড়ে দেখুন" sticker successfully opens the book preview reading module.</t>
  </si>
  <si>
    <t>The system should launch a readable preview overlay or page, allowing the user to flip through and read sample pages of the selected book</t>
  </si>
  <si>
    <t>The preview module opens successfully upon clicking the sticker, and the sample pages load and display clearly without errors.</t>
  </si>
  <si>
    <t>Target: Book WITH the green "একটু পড়ে দেখুন" sticker</t>
  </si>
  <si>
    <r>
      <rPr>
        <rFont val="Calibri"/>
        <color rgb="FF000000"/>
        <sz val="11.0"/>
        <u/>
      </rPr>
      <t>1. Open a browser and go:</t>
    </r>
    <r>
      <rPr>
        <rFont val="Calibri"/>
        <color rgb="FF1155CC"/>
        <sz val="11.0"/>
        <u/>
      </rPr>
      <t>Rokomari_eBook</t>
    </r>
    <r>
      <rPr>
        <rFont val="Calibri"/>
        <color rgb="FF000000"/>
        <sz val="11.0"/>
        <u/>
      </rPr>
      <t xml:space="preserve">
2. Browse the grid and locate a book displaying the green "একটু পড়ে দেখুন" sticker.
3. Click on the green sticker book
4. Click on the book cover page.
5. Verify that the book preview reader opens and pages can be navigated</t>
    </r>
  </si>
  <si>
    <t>Positive test successful. The reading interface loads seamlessly and provides a good user experience.</t>
  </si>
  <si>
    <t>Rokomari_015</t>
  </si>
  <si>
    <t>Functional / Negative Testing</t>
  </si>
  <si>
    <t>Verify that books without the green "একটু পড়ে দেখুন" sticker correctly restrict users from accessing the preview reading module.</t>
  </si>
  <si>
    <t>The system should not display the preview sticker, and there should be no clickable option/button allowing</t>
  </si>
  <si>
    <t>The system correctly restricts access. No green sticker is displayed, and no hidden or alternative preview buttons are accessible on the book's</t>
  </si>
  <si>
    <t>Target: Book WITHOUT the green "একটু পড়ে দেখুন" sticker</t>
  </si>
  <si>
    <r>
      <rPr>
        <rFont val="Calibri"/>
        <color rgb="FF000000"/>
        <sz val="11.0"/>
        <u/>
      </rPr>
      <t>1. Open a browser and go:</t>
    </r>
    <r>
      <rPr>
        <rFont val="Calibri"/>
        <color rgb="FF1155CC"/>
        <sz val="11.0"/>
        <u/>
      </rPr>
      <t>Rokomari_eBook</t>
    </r>
    <r>
      <rPr>
        <rFont val="Calibri"/>
        <color rgb="FF000000"/>
        <sz val="11.0"/>
        <u/>
      </rPr>
      <t xml:space="preserve">
2. Browse the grid and locate a book not displaying the green "একটু পড়ে দেখুন" sticker.
3. Click on the book
4. Try Click on the book cover page.
5. Verify that the book preview reader opens and pages can not be navigated</t>
    </r>
  </si>
  <si>
    <t>Negative validation successful. Access control logic correctly restricts previews for unauthorized books.</t>
  </si>
  <si>
    <t>Rokomari_016</t>
  </si>
  <si>
    <t>Checkout / Cart</t>
  </si>
  <si>
    <t>Hard Copy Logic</t>
  </si>
  <si>
    <t>Verify that purchasing a "Hard Copy" book correctly prompts the user to input mandatory delivery information.</t>
  </si>
  <si>
    <t>The system must ask the user to provide their physical Location, Phone Number, and Name before allowing them to proceed to payment</t>
  </si>
  <si>
    <t>The system correctly identifies the hard copy format and mandates the input of Name, Phone Number, and Delivery Location before proceeding.</t>
  </si>
  <si>
    <t>Format: Hard Copy</t>
  </si>
  <si>
    <t>1. Add a 'Hard Copy' book to the cart.
2. Proceed to the checkout page.
3. Verify that the form asks for Name, Phone Number, and Location.
4. Attempt to bypass without entering details (should be restricted).</t>
  </si>
  <si>
    <t>The shipping logic accurately differentiates physical products and enforces mandatory delivery information fields.</t>
  </si>
  <si>
    <t>Rokomari_017</t>
  </si>
  <si>
    <t>Payment Gateway (bKash)</t>
  </si>
  <si>
    <t>Verify the checkout flow when selecting 'bKash' as the payment method for purchasing E-books or Hard copies.</t>
  </si>
  <si>
    <t>Upon clicking "Confirm Order" with bKash selected, the system should redirect the user to the official bKash payment gateway to enter their credentials</t>
  </si>
  <si>
    <t>The system successfully redirects to the secure bKash payment link-up page without any connection errors.</t>
  </si>
  <si>
    <t>Payment Method: bKash</t>
  </si>
  <si>
    <t>1. Add an E-book or Hard copy to the cart.
2. Proceed to the checkout page.
3. Fill in required details and select 'bKash'.
4. Click 'Confirm Order'.
5. Observe the page redirection.</t>
  </si>
  <si>
    <t>bKash API integration is working flawlessly. Redirection is secure and accurate.</t>
  </si>
  <si>
    <t>Rokomari_018</t>
  </si>
  <si>
    <t>Payment Gateway (Nagad)</t>
  </si>
  <si>
    <t>Verify the checkout flow when selecting 'Nagad' as the payment method for purchasing E-books or Hard copies.</t>
  </si>
  <si>
    <t>Upon clicking "Confirm Order" with Nagad selected, the system should redirect the user to the official Nagad payment gateway to enter their credentials.</t>
  </si>
  <si>
    <t>The system successfully redirects to the secure Nagad payment link-up page without any connection errors.</t>
  </si>
  <si>
    <t>Payment Method: Nagad</t>
  </si>
  <si>
    <t>1. Add an E-book or Hard copy to the cart.
2. Proceed to the checkout page.
3. Fill in required details and select 'Nagad'.
4. Click 'Confirm Order'.
5. Observe the page redirection.</t>
  </si>
  <si>
    <t>Nagad API integration is working flawlessly. Redirection is secure and accurate.</t>
  </si>
  <si>
    <t>Rokomari_019</t>
  </si>
  <si>
    <t>Payment Gateway (MasterCard)</t>
  </si>
  <si>
    <t>Verify the checkout flow when selecting 'MasterCard' as the payment method for purchasing E-books or Hard copies.</t>
  </si>
  <si>
    <t>Upon clicking "Confirm Order" with MasterCard selected, the system should redirect the user to the secure bank/MasterCard gateway to enter card</t>
  </si>
  <si>
    <t>The system successfully redirects to the secure MasterCard payment link-up page without any connection errors.</t>
  </si>
  <si>
    <t>Payment Method: MasterCard</t>
  </si>
  <si>
    <t>1. Add an E-book or Hard copy to the cart.
2. Proceed to the checkout page.
3. Fill in required details and select 'MasterCard'.
4. Click 'Confirm Order'.
5. Observe the page redirection.</t>
  </si>
  <si>
    <t>MasterCard/Bank gateway integration is working flawlessly. Redirection is secure and accurate.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</si>
</sst>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1">
    <font>
      <sz val="10.0"/>
      <color rgb="FF000000"/>
      <name val="Arial"/>
      <scheme val="minor"/>
    </font>
    <font>
      <b/>
      <sz val="11.0"/>
      <color theme="1"/>
      <name val="Calibri"/>
    </font>
    <font>
      <u/>
      <color rgb="FF0000FF"/>
    </font>
    <font/>
    <font>
      <u/>
      <sz val="11.0"/>
      <color rgb="FFFF9900"/>
      <name val="Calibri"/>
    </font>
    <font>
      <color theme="1"/>
      <name val="Arial"/>
      <scheme val="minor"/>
    </font>
    <font>
      <sz val="11.0"/>
      <color theme="1"/>
      <name val="Calibri"/>
    </font>
    <font>
      <color rgb="FFFFFFFF"/>
      <name val="Arial"/>
    </font>
    <font>
      <u/>
      <color rgb="FF0000FF"/>
      <name val="Arial"/>
    </font>
    <font>
      <color theme="1"/>
      <name val="Arial"/>
    </font>
    <font>
      <b/>
      <sz val="11.0"/>
      <color rgb="FFFFFFFF"/>
      <name val="Calibri"/>
    </font>
    <font>
      <color theme="1"/>
      <name val="Calibri"/>
    </font>
    <font>
      <b/>
      <color rgb="FFFFFFFF"/>
      <name val="Arial"/>
    </font>
    <font>
      <sz val="11.0"/>
      <color theme="1"/>
      <name val="Arial"/>
    </font>
    <font>
      <u/>
      <sz val="11.0"/>
      <color theme="1"/>
      <name val="Calibri"/>
    </font>
    <font>
      <u/>
      <sz val="11.0"/>
      <color rgb="FFFF0000"/>
      <name val="Calibri"/>
    </font>
    <font>
      <u/>
      <sz val="11.0"/>
      <color theme="1"/>
      <name val="Calibri"/>
    </font>
    <font>
      <b/>
      <u/>
      <sz val="11.0"/>
      <color rgb="FFFF0000"/>
      <name val="Calibri"/>
    </font>
    <font>
      <b/>
      <u/>
      <sz val="11.0"/>
      <color rgb="FFFF0000"/>
      <name val="Calibri"/>
    </font>
    <font>
      <u/>
      <color rgb="FFFF0000"/>
      <name val="Arial"/>
    </font>
    <font>
      <color rgb="FFFF0000"/>
      <name val="Arial"/>
    </font>
  </fonts>
  <fills count="16">
    <fill>
      <patternFill patternType="none"/>
    </fill>
    <fill>
      <patternFill patternType="lightGray"/>
    </fill>
    <fill>
      <patternFill patternType="solid">
        <fgColor rgb="FFDBEEF4"/>
        <bgColor rgb="FFDBEEF4"/>
      </patternFill>
    </fill>
    <fill>
      <patternFill patternType="solid">
        <fgColor rgb="FFB6D7A8"/>
        <bgColor rgb="FFB6D7A8"/>
      </patternFill>
    </fill>
    <fill>
      <patternFill patternType="solid">
        <fgColor rgb="FF2F5496"/>
        <bgColor rgb="FF2F5496"/>
      </patternFill>
    </fill>
    <fill>
      <patternFill patternType="solid">
        <fgColor rgb="FFC6D9F0"/>
        <bgColor rgb="FFC6D9F0"/>
      </patternFill>
    </fill>
    <fill>
      <patternFill patternType="solid">
        <fgColor rgb="FF00FF00"/>
        <bgColor rgb="FF00FF00"/>
      </patternFill>
    </fill>
    <fill>
      <patternFill patternType="solid">
        <fgColor rgb="FFD6E3BC"/>
        <bgColor rgb="FFD6E3BC"/>
      </patternFill>
    </fill>
    <fill>
      <patternFill patternType="solid">
        <fgColor rgb="FFFF0000"/>
        <bgColor rgb="FFFF0000"/>
      </patternFill>
    </fill>
    <fill>
      <patternFill patternType="solid">
        <fgColor rgb="FFFFFF00"/>
        <bgColor rgb="FFFFFF00"/>
      </patternFill>
    </fill>
    <fill>
      <patternFill patternType="solid">
        <fgColor rgb="FFFAC090"/>
        <bgColor rgb="FFFAC090"/>
      </patternFill>
    </fill>
    <fill>
      <patternFill patternType="solid">
        <fgColor rgb="FFB7B7B7"/>
        <bgColor rgb="FFB7B7B7"/>
      </patternFill>
    </fill>
    <fill>
      <patternFill patternType="solid">
        <fgColor rgb="FFCCCCCC"/>
        <bgColor rgb="FFCCCCCC"/>
      </patternFill>
    </fill>
    <fill>
      <patternFill patternType="solid">
        <fgColor rgb="FF002060"/>
        <bgColor rgb="FF002060"/>
      </patternFill>
    </fill>
    <fill>
      <patternFill patternType="solid">
        <fgColor rgb="FFFFFFFF"/>
        <bgColor rgb="FFFFFFFF"/>
      </patternFill>
    </fill>
    <fill>
      <patternFill patternType="solid">
        <fgColor rgb="FFBFBFBF"/>
        <bgColor rgb="FFBFBFBF"/>
      </patternFill>
    </fill>
  </fills>
  <borders count="5">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horizontal="center" readingOrder="0" vertical="center"/>
    </xf>
    <xf borderId="2" fillId="0" fontId="3" numFmtId="0" xfId="0" applyBorder="1" applyFont="1"/>
    <xf borderId="3" fillId="3" fontId="4" numFmtId="0" xfId="0" applyAlignment="1" applyBorder="1" applyFill="1" applyFont="1">
      <alignment horizontal="center" shrinkToFit="0" vertical="center" wrapText="1"/>
    </xf>
    <xf borderId="3" fillId="2" fontId="1" numFmtId="0" xfId="0" applyAlignment="1" applyBorder="1" applyFill="1" applyFont="1">
      <alignment horizontal="left" shrinkToFit="0" vertical="center" wrapText="1"/>
    </xf>
    <xf borderId="3" fillId="0" fontId="5" numFmtId="0" xfId="0" applyBorder="1" applyFont="1"/>
    <xf borderId="0" fillId="0" fontId="5" numFmtId="0" xfId="0" applyFont="1"/>
    <xf borderId="3" fillId="3" fontId="6" numFmtId="0" xfId="0" applyAlignment="1" applyBorder="1" applyFill="1" applyFont="1">
      <alignment horizontal="left" shrinkToFit="0" vertical="center" wrapText="1"/>
    </xf>
    <xf borderId="3" fillId="0" fontId="6" numFmtId="0" xfId="0" applyAlignment="1" applyBorder="1" applyFont="1">
      <alignment horizontal="center" shrinkToFit="0" vertical="center" wrapText="1"/>
    </xf>
    <xf borderId="3" fillId="0" fontId="6" numFmtId="0" xfId="0" applyAlignment="1" applyBorder="1" applyFont="1">
      <alignment horizontal="left" shrinkToFit="0" vertical="center" wrapText="1"/>
    </xf>
    <xf borderId="3" fillId="4" fontId="7" numFmtId="0" xfId="0" applyAlignment="1" applyBorder="1" applyFill="1" applyFont="1">
      <alignment horizontal="center"/>
    </xf>
    <xf borderId="1" fillId="5" fontId="1" numFmtId="0" xfId="0" applyAlignment="1" applyBorder="1" applyFill="1" applyFont="1">
      <alignment horizontal="center" shrinkToFit="0" vertical="center" wrapText="1"/>
    </xf>
    <xf borderId="0" fillId="5" fontId="1" numFmtId="0" xfId="0" applyAlignment="1" applyFill="1" applyFont="1">
      <alignment horizontal="center" shrinkToFit="0" vertical="center" wrapText="1"/>
    </xf>
    <xf borderId="3" fillId="3" fontId="6" numFmtId="0" xfId="0" applyAlignment="1" applyBorder="1" applyFill="1" applyFont="1">
      <alignment horizontal="center" shrinkToFit="0" vertical="center" wrapText="1"/>
    </xf>
    <xf borderId="3" fillId="6" fontId="1" numFmtId="0" xfId="0" applyAlignment="1" applyBorder="1" applyFill="1" applyFont="1">
      <alignment horizontal="left" shrinkToFit="0" vertical="center" wrapText="1"/>
    </xf>
    <xf borderId="1" fillId="0" fontId="8" numFmtId="0" xfId="0" applyAlignment="1" applyBorder="1" applyFont="1">
      <alignment horizontal="center" readingOrder="0" vertical="top"/>
    </xf>
    <xf borderId="1" fillId="0" fontId="9" numFmtId="0" xfId="0" applyAlignment="1" applyBorder="1" applyFont="1">
      <alignment horizontal="center" vertical="top"/>
    </xf>
    <xf borderId="3" fillId="7" fontId="6" numFmtId="0" xfId="0" applyAlignment="1" applyBorder="1" applyFill="1" applyFont="1">
      <alignment horizontal="left" shrinkToFit="0" vertical="center" wrapText="1"/>
    </xf>
    <xf borderId="0" fillId="7" fontId="6" numFmtId="0" xfId="0" applyAlignment="1" applyFill="1" applyFont="1">
      <alignment horizontal="left" shrinkToFit="0" vertical="center" wrapText="1"/>
    </xf>
    <xf borderId="1" fillId="0" fontId="9" numFmtId="0" xfId="0" applyAlignment="1" applyBorder="1" applyFont="1">
      <alignment horizontal="center" readingOrder="0" vertical="top"/>
    </xf>
    <xf borderId="3" fillId="3" fontId="6" numFmtId="0" xfId="0" applyAlignment="1" applyBorder="1" applyFill="1" applyFont="1">
      <alignment horizontal="left" readingOrder="0" shrinkToFit="0" vertical="center" wrapText="1"/>
    </xf>
    <xf borderId="3" fillId="0" fontId="1" numFmtId="0" xfId="0" applyAlignment="1" applyBorder="1" applyFont="1">
      <alignment horizontal="left" shrinkToFit="0" vertical="center" wrapText="1"/>
    </xf>
    <xf borderId="3" fillId="8" fontId="10" numFmtId="0" xfId="0" applyAlignment="1" applyBorder="1" applyFill="1" applyFont="1">
      <alignment horizontal="left" shrinkToFit="0" vertical="center" wrapText="1"/>
    </xf>
    <xf borderId="1" fillId="0" fontId="9" numFmtId="164" xfId="0" applyAlignment="1" applyBorder="1" applyFont="1" applyNumberFormat="1">
      <alignment horizontal="center" readingOrder="0" vertical="top"/>
    </xf>
    <xf borderId="0" fillId="3" fontId="9" numFmtId="0" xfId="0" applyAlignment="1" applyFill="1" applyFont="1">
      <alignment horizontal="center" shrinkToFit="0" vertical="center" wrapText="1"/>
    </xf>
    <xf borderId="1" fillId="0" fontId="9" numFmtId="164" xfId="0" applyAlignment="1" applyBorder="1" applyFont="1" applyNumberFormat="1">
      <alignment horizontal="center" vertical="top"/>
    </xf>
    <xf borderId="3" fillId="9" fontId="1" numFmtId="0" xfId="0" applyAlignment="1" applyBorder="1" applyFill="1" applyFont="1">
      <alignment horizontal="left" shrinkToFit="0" vertical="center" wrapText="1"/>
    </xf>
    <xf borderId="3" fillId="4" fontId="11" numFmtId="0" xfId="0" applyBorder="1" applyFill="1" applyFont="1"/>
    <xf borderId="3" fillId="4" fontId="11" numFmtId="0" xfId="0" applyAlignment="1" applyBorder="1" applyFill="1" applyFont="1">
      <alignment vertical="top"/>
    </xf>
    <xf borderId="3" fillId="4" fontId="11" numFmtId="0" xfId="0" applyAlignment="1" applyBorder="1" applyFill="1" applyFont="1">
      <alignment shrinkToFit="0" wrapText="1"/>
    </xf>
    <xf borderId="3" fillId="4" fontId="12" numFmtId="0" xfId="0" applyAlignment="1" applyBorder="1" applyFill="1" applyFont="1">
      <alignment horizontal="center" vertical="center"/>
    </xf>
    <xf borderId="3" fillId="4" fontId="12" numFmtId="0" xfId="0" applyAlignment="1" applyBorder="1" applyFill="1" applyFont="1">
      <alignment horizontal="center"/>
    </xf>
    <xf borderId="3" fillId="4" fontId="12" numFmtId="0" xfId="0" applyAlignment="1" applyBorder="1" applyFill="1" applyFont="1">
      <alignment horizontal="center" shrinkToFit="0" wrapText="1"/>
    </xf>
    <xf borderId="1" fillId="10" fontId="1" numFmtId="0" xfId="0" applyAlignment="1" applyBorder="1" applyFill="1" applyFont="1">
      <alignment horizontal="center" shrinkToFit="0" vertical="center" wrapText="1"/>
    </xf>
    <xf borderId="3" fillId="0" fontId="9" numFmtId="0" xfId="0" applyAlignment="1" applyBorder="1" applyFont="1">
      <alignment horizontal="center" vertical="center"/>
    </xf>
    <xf borderId="3" fillId="0" fontId="11" numFmtId="0" xfId="0" applyBorder="1" applyFont="1"/>
    <xf borderId="1" fillId="10" fontId="6" numFmtId="0" xfId="0" applyAlignment="1" applyBorder="1" applyFill="1" applyFont="1">
      <alignment horizontal="center" shrinkToFit="0" vertical="center" wrapText="1"/>
    </xf>
    <xf borderId="3" fillId="0" fontId="5" numFmtId="0" xfId="0" applyAlignment="1" applyBorder="1" applyFont="1">
      <alignment readingOrder="0" shrinkToFit="0" wrapText="1"/>
    </xf>
    <xf borderId="4" fillId="0" fontId="3" numFmtId="0" xfId="0" applyBorder="1" applyFont="1"/>
    <xf borderId="3" fillId="0" fontId="9" numFmtId="0" xfId="0" applyAlignment="1" applyBorder="1" applyFont="1">
      <alignment horizontal="center" readingOrder="0" vertical="center"/>
    </xf>
    <xf borderId="3" fillId="0" fontId="9" numFmtId="49" xfId="0" applyAlignment="1" applyBorder="1" applyFont="1" applyNumberFormat="1">
      <alignment horizontal="center" vertical="center"/>
    </xf>
    <xf borderId="3" fillId="10" fontId="1" numFmtId="0" xfId="0" applyAlignment="1" applyBorder="1" applyFill="1" applyFont="1">
      <alignment horizontal="left" shrinkToFit="0" vertical="center" wrapText="1"/>
    </xf>
    <xf borderId="3" fillId="0" fontId="9" numFmtId="0" xfId="0" applyAlignment="1" applyBorder="1" applyFont="1">
      <alignment horizontal="center" vertical="center"/>
    </xf>
    <xf borderId="3" fillId="11" fontId="11" numFmtId="0" xfId="0" applyAlignment="1" applyBorder="1" applyFill="1" applyFont="1">
      <alignment vertical="center"/>
    </xf>
    <xf borderId="3" fillId="10" fontId="6" numFmtId="0" xfId="0" applyAlignment="1" applyBorder="1" applyFill="1" applyFont="1">
      <alignment horizontal="left" shrinkToFit="0" vertical="center" wrapText="1"/>
    </xf>
    <xf borderId="3" fillId="11" fontId="11" numFmtId="0" xfId="0" applyBorder="1" applyFill="1" applyFont="1"/>
    <xf borderId="0" fillId="10" fontId="6" numFmtId="0" xfId="0" applyAlignment="1" applyFill="1" applyFont="1">
      <alignment horizontal="left" shrinkToFit="0" vertical="center" wrapText="1"/>
    </xf>
    <xf borderId="3" fillId="11" fontId="11" numFmtId="0" xfId="0" applyAlignment="1" applyBorder="1" applyFill="1" applyFont="1">
      <alignment shrinkToFit="0" wrapText="1"/>
    </xf>
    <xf borderId="3" fillId="5" fontId="1" numFmtId="0" xfId="0" applyAlignment="1" applyBorder="1" applyFill="1" applyFont="1">
      <alignment horizontal="left" shrinkToFit="0" vertical="center" wrapText="1"/>
    </xf>
    <xf borderId="3" fillId="0" fontId="13" numFmtId="0" xfId="0" applyAlignment="1" applyBorder="1" applyFont="1">
      <alignment horizontal="center" readingOrder="0" vertical="center"/>
    </xf>
    <xf borderId="3" fillId="12" fontId="11" numFmtId="0" xfId="0" applyAlignment="1" applyBorder="1" applyFill="1" applyFont="1">
      <alignment vertical="center"/>
    </xf>
    <xf borderId="3" fillId="7" fontId="1" numFmtId="0" xfId="0" applyAlignment="1" applyBorder="1" applyFill="1" applyFont="1">
      <alignment horizontal="left" shrinkToFit="0" vertical="center" wrapText="1"/>
    </xf>
    <xf borderId="3" fillId="12" fontId="11" numFmtId="0" xfId="0" applyBorder="1" applyFill="1" applyFont="1"/>
    <xf borderId="0" fillId="7" fontId="1" numFmtId="0" xfId="0" applyAlignment="1" applyFill="1" applyFont="1">
      <alignment horizontal="left" shrinkToFit="0" vertical="center" wrapText="1"/>
    </xf>
    <xf borderId="3" fillId="12" fontId="11" numFmtId="0" xfId="0" applyAlignment="1" applyBorder="1" applyFill="1" applyFont="1">
      <alignment shrinkToFit="0" wrapText="1"/>
    </xf>
    <xf borderId="3" fillId="13" fontId="10" numFmtId="0" xfId="0" applyAlignment="1" applyBorder="1" applyFill="1" applyFont="1">
      <alignment horizontal="center" shrinkToFit="0" vertical="center" wrapText="1"/>
    </xf>
    <xf borderId="3" fillId="13" fontId="10" numFmtId="0" xfId="0" applyAlignment="1" applyBorder="1" applyFill="1" applyFont="1">
      <alignment horizontal="left" shrinkToFit="0" vertical="center" wrapText="1"/>
    </xf>
    <xf borderId="3" fillId="0" fontId="13" numFmtId="0" xfId="0" applyAlignment="1" applyBorder="1" applyFont="1">
      <alignment horizontal="center" vertical="center"/>
    </xf>
    <xf borderId="0" fillId="13" fontId="10" numFmtId="0" xfId="0" applyAlignment="1" applyFill="1" applyFont="1">
      <alignment horizontal="left" shrinkToFit="0" vertical="center" wrapText="1"/>
    </xf>
    <xf borderId="3" fillId="14" fontId="6" numFmtId="0" xfId="0" applyAlignment="1" applyBorder="1" applyFill="1" applyFont="1">
      <alignment horizontal="center" shrinkToFit="0" vertical="center" wrapText="1"/>
    </xf>
    <xf borderId="3" fillId="14" fontId="14" numFmtId="0" xfId="0" applyAlignment="1" applyBorder="1" applyFill="1" applyFont="1">
      <alignment horizontal="left" readingOrder="0" shrinkToFit="0" vertical="center" wrapText="1"/>
    </xf>
    <xf borderId="3" fillId="14" fontId="15" numFmtId="0" xfId="0" applyAlignment="1" applyBorder="1" applyFill="1" applyFont="1">
      <alignment horizontal="center" readingOrder="0" shrinkToFit="0" vertical="center" wrapText="1"/>
    </xf>
    <xf borderId="3" fillId="8" fontId="6" numFmtId="0" xfId="0" applyAlignment="1" applyBorder="1" applyFill="1" applyFont="1">
      <alignment horizontal="center" shrinkToFit="0" vertical="center" wrapText="1"/>
    </xf>
    <xf borderId="3" fillId="14" fontId="6" numFmtId="0" xfId="0" applyAlignment="1" applyBorder="1" applyFill="1" applyFont="1">
      <alignment horizontal="left" shrinkToFit="0" vertical="center" wrapText="1"/>
    </xf>
    <xf borderId="3" fillId="14" fontId="6" numFmtId="0" xfId="0" applyAlignment="1" applyBorder="1" applyFill="1" applyFont="1">
      <alignment horizontal="left" readingOrder="0" shrinkToFit="0" vertical="center" wrapText="1"/>
    </xf>
    <xf borderId="3" fillId="15" fontId="6" numFmtId="0" xfId="0" applyAlignment="1" applyBorder="1" applyFill="1" applyFont="1">
      <alignment horizontal="center" shrinkToFit="0" vertical="center" wrapText="1"/>
    </xf>
    <xf borderId="3" fillId="15" fontId="6" numFmtId="0" xfId="0" applyAlignment="1" applyBorder="1" applyFill="1" applyFont="1">
      <alignment horizontal="left" shrinkToFit="0" vertical="center" wrapText="1"/>
    </xf>
    <xf borderId="0" fillId="15" fontId="6" numFmtId="0" xfId="0" applyAlignment="1" applyFill="1" applyFont="1">
      <alignment horizontal="center" shrinkToFit="0" vertical="center" wrapText="1"/>
    </xf>
    <xf borderId="3" fillId="0" fontId="9" numFmtId="0" xfId="0" applyAlignment="1" applyBorder="1" applyFont="1">
      <alignment horizontal="center" shrinkToFit="0" vertical="center" wrapText="1"/>
    </xf>
    <xf borderId="3" fillId="14" fontId="16" numFmtId="0" xfId="0" applyAlignment="1" applyBorder="1" applyFill="1" applyFont="1">
      <alignment horizontal="left" shrinkToFit="0" vertical="center" wrapText="1"/>
    </xf>
    <xf borderId="3" fillId="14" fontId="17" numFmtId="0" xfId="0" applyAlignment="1" applyBorder="1" applyFill="1" applyFont="1">
      <alignment horizontal="center" readingOrder="0" shrinkToFit="0" vertical="center" wrapText="1"/>
    </xf>
    <xf borderId="0" fillId="14" fontId="6" numFmtId="0" xfId="0" applyAlignment="1" applyFill="1" applyFont="1">
      <alignment horizontal="center" shrinkToFit="0" vertical="center" wrapText="1"/>
    </xf>
    <xf borderId="3" fillId="14" fontId="18" numFmtId="0" xfId="0" applyAlignment="1" applyBorder="1" applyFill="1" applyFont="1">
      <alignment horizontal="center" shrinkToFit="0" vertical="center" wrapText="1"/>
    </xf>
    <xf borderId="3" fillId="6" fontId="6" numFmtId="0" xfId="0" applyAlignment="1" applyBorder="1" applyFill="1" applyFont="1">
      <alignment horizontal="center" shrinkToFit="0" vertical="center" wrapText="1"/>
    </xf>
    <xf borderId="3" fillId="0" fontId="1" numFmtId="0" xfId="0" applyAlignment="1" applyBorder="1" applyFont="1">
      <alignment horizontal="center" shrinkToFit="0" vertical="center" wrapText="1"/>
    </xf>
    <xf borderId="3" fillId="15" fontId="9" numFmtId="0" xfId="0" applyAlignment="1" applyBorder="1" applyFill="1" applyFont="1">
      <alignment horizontal="center" shrinkToFit="0" vertical="center" wrapText="1"/>
    </xf>
    <xf borderId="3" fillId="15" fontId="9" numFmtId="0" xfId="0" applyAlignment="1" applyBorder="1" applyFill="1" applyFont="1">
      <alignment horizontal="left" shrinkToFit="0" vertical="center" wrapText="1"/>
    </xf>
    <xf borderId="0" fillId="15" fontId="9" numFmtId="0" xfId="0" applyAlignment="1" applyFill="1" applyFont="1">
      <alignment horizontal="center" shrinkToFit="0" vertical="center" wrapText="1"/>
    </xf>
    <xf borderId="3" fillId="14" fontId="9" numFmtId="0" xfId="0" applyAlignment="1" applyBorder="1" applyFill="1" applyFont="1">
      <alignment horizontal="center" shrinkToFit="0" vertical="center" wrapText="1"/>
    </xf>
    <xf borderId="3" fillId="14" fontId="19" numFmtId="0" xfId="0" applyAlignment="1" applyBorder="1" applyFill="1" applyFont="1">
      <alignment horizontal="center" readingOrder="0" shrinkToFit="0" vertical="center" wrapText="1"/>
    </xf>
    <xf borderId="3" fillId="8" fontId="6" numFmtId="0" xfId="0" applyAlignment="1" applyBorder="1" applyFill="1" applyFont="1">
      <alignment horizontal="center" readingOrder="0" shrinkToFit="0" vertical="center" wrapText="1"/>
    </xf>
    <xf borderId="3" fillId="14" fontId="20" numFmtId="0" xfId="0" applyAlignment="1" applyBorder="1" applyFill="1" applyFont="1">
      <alignment horizontal="center" shrinkToFit="0" vertical="center" wrapText="1"/>
    </xf>
    <xf borderId="3" fillId="0" fontId="5" numFmtId="0" xfId="0" applyAlignment="1" applyBorder="1" applyFont="1">
      <alignment horizontal="center" readingOrder="0" shrinkToFit="0" vertical="center" wrapText="1"/>
    </xf>
    <xf borderId="3" fillId="0" fontId="5" numFmtId="0" xfId="0" applyAlignment="1" applyBorder="1" applyFont="1">
      <alignment readingOrder="0" shrinkToFit="0" vertical="center" wrapText="1"/>
    </xf>
    <xf borderId="3" fillId="0" fontId="5" numFmtId="0" xfId="0" applyAlignment="1" applyBorder="1" applyFont="1">
      <alignment horizontal="left" readingOrder="0" shrinkToFit="0" vertical="center" wrapText="1"/>
    </xf>
    <xf borderId="3" fillId="0" fontId="6" numFmtId="0" xfId="0" applyAlignment="1" applyBorder="1" applyFont="1">
      <alignment horizontal="left" readingOrder="0" shrinkToFit="0" vertical="center" wrapText="1"/>
    </xf>
    <xf borderId="3" fillId="14" fontId="6" numFmtId="0" xfId="0" applyAlignment="1" applyBorder="1" applyFill="1" applyFont="1">
      <alignment horizontal="center" readingOrder="0" shrinkToFit="0" vertical="center" wrapText="1"/>
    </xf>
    <xf borderId="0" fillId="0" fontId="5" numFmtId="0" xfId="0" applyAlignment="1" applyFont="1">
      <alignment readingOrder="0" shrinkToFit="0" vertical="center" wrapText="1"/>
    </xf>
    <xf borderId="3" fillId="15" fontId="9" numFmtId="0" xfId="0" applyAlignment="1" applyBorder="1" applyFill="1" applyFont="1">
      <alignment horizontal="center"/>
    </xf>
    <xf borderId="3" fillId="15" fontId="9" numFmtId="0" xfId="0" applyBorder="1" applyFill="1" applyFont="1"/>
    <xf borderId="3" fillId="15" fontId="9" numFmtId="0" xfId="0" applyAlignment="1" applyBorder="1" applyFill="1" applyFont="1">
      <alignment horizontal="left"/>
    </xf>
    <xf borderId="0" fillId="15" fontId="9" numFmtId="0" xfId="0" applyFill="1" applyFont="1"/>
    <xf borderId="0" fillId="0" fontId="5"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373100" cy="52768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rokomari.com/book/ebook?sort=SOLD_COUNT_DESC&amp;priceRange=5to1600&amp;discountRange=0to100&amp;ratings=5" TargetMode="External"/><Relationship Id="rId10" Type="http://schemas.openxmlformats.org/officeDocument/2006/relationships/hyperlink" Target="https://www.rokomari.com/book/ebook?sort=SOLD_COUNT_DESC&amp;priceRange=5to1600&amp;discountRange=0to100&amp;ratings=5" TargetMode="External"/><Relationship Id="rId13" Type="http://schemas.openxmlformats.org/officeDocument/2006/relationships/hyperlink" Target="https://www.rokomari.com/book/ebook?sort=SOLD_COUNT_DESC&amp;priceRange=5to1600&amp;discountRange=0to100&amp;ratings=5" TargetMode="External"/><Relationship Id="rId12" Type="http://schemas.openxmlformats.org/officeDocument/2006/relationships/hyperlink" Target="https://drive.google.com/file/d/1xYNfZJmR_P9DYkJb2RjhSaWlSAIxPTB5/view?usp=drive_link" TargetMode="External"/><Relationship Id="rId1" Type="http://schemas.openxmlformats.org/officeDocument/2006/relationships/hyperlink" Target="https://www.rokomari.com/" TargetMode="External"/><Relationship Id="rId2" Type="http://schemas.openxmlformats.org/officeDocument/2006/relationships/hyperlink" Target="https://www.rokomari.com/book/ebook?sort=SOLD_COUNT_DESC&amp;priceRange=5to1600&amp;discountRange=0to100&amp;ratings=5" TargetMode="External"/><Relationship Id="rId3" Type="http://schemas.openxmlformats.org/officeDocument/2006/relationships/hyperlink" Target="https://drive.google.com/file/d/1jZFGgkpluRjiFYAhgckJ4KpKCFXikPYQ/view?usp=drive_link" TargetMode="External"/><Relationship Id="rId4" Type="http://schemas.openxmlformats.org/officeDocument/2006/relationships/hyperlink" Target="https://www.rokomari.com/book/ebook?sort=SOLD_COUNT_DESC&amp;priceRange=5to1600&amp;discountRange=0to100&amp;ratings=5" TargetMode="External"/><Relationship Id="rId9" Type="http://schemas.openxmlformats.org/officeDocument/2006/relationships/hyperlink" Target="https://www.rokomari.com/book/ebook?sort=SOLD_COUNT_DESC&amp;priceRange=5to1600&amp;discountRange=0to100&amp;ratings=5" TargetMode="External"/><Relationship Id="rId15" Type="http://schemas.openxmlformats.org/officeDocument/2006/relationships/hyperlink" Target="https://www.rokomari.com/book/ebook?sort=SOLD_COUNT_DESC&amp;priceRange=5to1600&amp;discountRange=0to100&amp;ratings=5" TargetMode="External"/><Relationship Id="rId14" Type="http://schemas.openxmlformats.org/officeDocument/2006/relationships/hyperlink" Target="https://www.rokomari.com/book/ebook?sort=SOLD_COUNT_DESC&amp;priceRange=5to1600&amp;discountRange=0to100&amp;ratings=5" TargetMode="External"/><Relationship Id="rId17" Type="http://schemas.openxmlformats.org/officeDocument/2006/relationships/hyperlink" Target="https://www.rokomari.com/book/ebook?sort=SOLD_COUNT_DESC&amp;priceRange=5to1600&amp;discountRange=0to100&amp;ratings=5" TargetMode="External"/><Relationship Id="rId16" Type="http://schemas.openxmlformats.org/officeDocument/2006/relationships/hyperlink" Target="https://www.rokomari.com/book/ebook?sort=SOLD_COUNT_DESC&amp;priceRange=5to1600&amp;discountRange=0to100&amp;ratings=5" TargetMode="External"/><Relationship Id="rId5" Type="http://schemas.openxmlformats.org/officeDocument/2006/relationships/hyperlink" Target="https://drive.google.com/file/d/1EQk5G61DSFNY7lBLuIYunC5ekPJ7Q8Sv/view?usp=drive_link" TargetMode="External"/><Relationship Id="rId19" Type="http://schemas.openxmlformats.org/officeDocument/2006/relationships/drawing" Target="../drawings/drawing1.xml"/><Relationship Id="rId6" Type="http://schemas.openxmlformats.org/officeDocument/2006/relationships/hyperlink" Target="https://www.rokomari.com/book/ebook?sort=SOLD_COUNT_DESC&amp;priceRange=5to1600&amp;discountRange=0to100&amp;ratings=5" TargetMode="External"/><Relationship Id="rId18" Type="http://schemas.openxmlformats.org/officeDocument/2006/relationships/hyperlink" Target="https://www.rokomari.com/book/ebook?sort=SOLD_COUNT_DESC&amp;priceRange=5to1600&amp;discountRange=0to100&amp;ratings=5" TargetMode="External"/><Relationship Id="rId7" Type="http://schemas.openxmlformats.org/officeDocument/2006/relationships/hyperlink" Target="https://www.rokomari.com/book/ebook?sort=SOLD_COUNT_DESC&amp;priceRange=5to1600&amp;discountRange=0to100&amp;ratings=5" TargetMode="External"/><Relationship Id="rId8" Type="http://schemas.openxmlformats.org/officeDocument/2006/relationships/hyperlink" Target="https://www.rokomari.com/book/ebook?sort=SOLD_COUNT_DESC&amp;priceRange=5to1600&amp;discountRange=0to100&amp;ratings=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Ix-yvS5oEK2QoHPI39o7Jcb-W3fa1OjtWgtXbzeSm6A/edit?usp=drive_link" TargetMode="External"/><Relationship Id="rId2" Type="http://schemas.openxmlformats.org/officeDocument/2006/relationships/hyperlink" Target="https://docs.google.com/document/d/1BMCWKOuqaf3JFnpdFhtW9zCO_4PB_ziw-dUCuhGu0Qg/edit?usp=drive_link"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rokomari.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88"/>
    <col customWidth="1" min="2" max="2" width="16.38"/>
    <col customWidth="1" min="3" max="3" width="30.25"/>
    <col customWidth="1" min="4" max="4" width="15.0"/>
    <col customWidth="1" min="5" max="5" width="35.25"/>
    <col customWidth="1" min="6" max="6" width="33.5"/>
    <col customWidth="1" min="7" max="7" width="25.5"/>
    <col customWidth="1" min="8" max="8" width="23.75"/>
    <col customWidth="1" min="9" max="9" width="34.25"/>
    <col customWidth="1" min="12" max="12" width="18.38"/>
    <col customWidth="1" min="13" max="14" width="23.0"/>
  </cols>
  <sheetData>
    <row r="1" ht="15.75" customHeight="1">
      <c r="A1" s="1" t="s">
        <v>1</v>
      </c>
      <c r="B1" s="3"/>
      <c r="C1" s="4" t="s">
        <v>3</v>
      </c>
      <c r="D1" s="5" t="s">
        <v>4</v>
      </c>
      <c r="E1" s="8" t="s">
        <v>5</v>
      </c>
      <c r="F1" s="5" t="s">
        <v>6</v>
      </c>
      <c r="G1" s="8" t="s">
        <v>5</v>
      </c>
      <c r="H1" s="9"/>
      <c r="I1" s="10"/>
      <c r="J1" s="10"/>
      <c r="K1" s="10"/>
      <c r="L1" s="12" t="s">
        <v>7</v>
      </c>
      <c r="M1" s="3"/>
      <c r="N1" s="13"/>
    </row>
    <row r="2" ht="15.75" customHeight="1">
      <c r="A2" s="1" t="s">
        <v>9</v>
      </c>
      <c r="B2" s="3"/>
      <c r="C2" s="14" t="s">
        <v>10</v>
      </c>
      <c r="D2" s="5" t="s">
        <v>11</v>
      </c>
      <c r="E2" s="8" t="s">
        <v>5</v>
      </c>
      <c r="F2" s="5" t="s">
        <v>12</v>
      </c>
      <c r="G2" s="8" t="s">
        <v>5</v>
      </c>
      <c r="H2" s="9"/>
      <c r="I2" s="10"/>
      <c r="J2" s="10"/>
      <c r="K2" s="10"/>
      <c r="L2" s="15" t="s">
        <v>13</v>
      </c>
      <c r="M2" s="18">
        <f>COUNTIF(L10:L45, "Passed")</f>
        <v>14</v>
      </c>
      <c r="N2" s="19"/>
    </row>
    <row r="3" ht="15.75" customHeight="1">
      <c r="A3" s="1" t="s">
        <v>15</v>
      </c>
      <c r="B3" s="3"/>
      <c r="C3" s="14"/>
      <c r="D3" s="5" t="s">
        <v>18</v>
      </c>
      <c r="E3" s="21" t="s">
        <v>17</v>
      </c>
      <c r="F3" s="22" t="s">
        <v>19</v>
      </c>
      <c r="G3" s="8" t="s">
        <v>20</v>
      </c>
      <c r="H3" s="9"/>
      <c r="I3" s="10"/>
      <c r="J3" s="10"/>
      <c r="K3" s="10"/>
      <c r="L3" s="23" t="s">
        <v>22</v>
      </c>
      <c r="M3" s="18">
        <f>COUNTIF(L10:L45, "Failed")</f>
        <v>4</v>
      </c>
      <c r="N3" s="19"/>
    </row>
    <row r="4" ht="15.75" customHeight="1">
      <c r="A4" s="1" t="s">
        <v>23</v>
      </c>
      <c r="B4" s="3"/>
      <c r="C4" s="14"/>
      <c r="D4" s="5" t="s">
        <v>25</v>
      </c>
      <c r="E4" s="8"/>
      <c r="F4" s="22" t="s">
        <v>26</v>
      </c>
      <c r="G4" s="25" t="s">
        <v>28</v>
      </c>
      <c r="H4" s="9"/>
      <c r="I4" s="10"/>
      <c r="J4" s="10"/>
      <c r="K4" s="10"/>
      <c r="L4" s="27" t="s">
        <v>29</v>
      </c>
      <c r="M4" s="18">
        <f>COUNTIF(L10:L45, "Not Executed")</f>
        <v>0</v>
      </c>
      <c r="N4" s="19"/>
    </row>
    <row r="5" ht="15.75" customHeight="1">
      <c r="A5" s="34" t="s">
        <v>32</v>
      </c>
      <c r="B5" s="3"/>
      <c r="C5" s="37"/>
      <c r="D5" s="39"/>
      <c r="E5" s="39"/>
      <c r="F5" s="39"/>
      <c r="G5" s="3"/>
      <c r="H5" s="9"/>
      <c r="I5" s="10"/>
      <c r="J5" s="10"/>
      <c r="K5" s="10"/>
      <c r="L5" s="42" t="s">
        <v>40</v>
      </c>
      <c r="M5" s="45">
        <f>COUNTIF(L10:L45, "Out of Scope")</f>
        <v>0</v>
      </c>
      <c r="N5" s="47"/>
    </row>
    <row r="6" ht="15.75" customHeight="1">
      <c r="A6" s="9"/>
      <c r="B6" s="9"/>
      <c r="C6" s="9"/>
      <c r="D6" s="10"/>
      <c r="E6" s="10"/>
      <c r="F6" s="10"/>
      <c r="G6" s="10"/>
      <c r="H6" s="9"/>
      <c r="I6" s="10"/>
      <c r="J6" s="10"/>
      <c r="K6" s="10"/>
      <c r="L6" s="49" t="s">
        <v>45</v>
      </c>
      <c r="M6" s="52">
        <f>SUM(M2:M5)</f>
        <v>18</v>
      </c>
      <c r="N6" s="54"/>
    </row>
    <row r="7" ht="15.75" customHeight="1">
      <c r="A7" s="56" t="s">
        <v>47</v>
      </c>
      <c r="B7" s="56" t="s">
        <v>48</v>
      </c>
      <c r="C7" s="56" t="s">
        <v>50</v>
      </c>
      <c r="D7" s="57" t="s">
        <v>52</v>
      </c>
      <c r="E7" s="57" t="s">
        <v>53</v>
      </c>
      <c r="F7" s="57" t="s">
        <v>54</v>
      </c>
      <c r="G7" s="57" t="s">
        <v>55</v>
      </c>
      <c r="H7" s="56" t="s">
        <v>56</v>
      </c>
      <c r="I7" s="57" t="s">
        <v>57</v>
      </c>
      <c r="J7" s="57" t="s">
        <v>58</v>
      </c>
      <c r="K7" s="57" t="s">
        <v>59</v>
      </c>
      <c r="L7" s="57" t="s">
        <v>60</v>
      </c>
      <c r="M7" s="57" t="s">
        <v>61</v>
      </c>
      <c r="N7" s="59"/>
    </row>
    <row r="8" ht="345.75" customHeight="1">
      <c r="A8" s="60" t="s">
        <v>64</v>
      </c>
      <c r="B8" s="60" t="s">
        <v>67</v>
      </c>
      <c r="C8" s="9" t="s">
        <v>68</v>
      </c>
      <c r="D8" s="9" t="s">
        <v>69</v>
      </c>
      <c r="E8" s="60" t="s">
        <v>70</v>
      </c>
      <c r="F8" s="60" t="s">
        <v>71</v>
      </c>
      <c r="G8" s="60" t="s">
        <v>73</v>
      </c>
      <c r="H8" s="60" t="s">
        <v>75</v>
      </c>
      <c r="I8" s="61" t="s">
        <v>78</v>
      </c>
      <c r="J8" s="62" t="s">
        <v>91</v>
      </c>
      <c r="K8" s="60"/>
      <c r="L8" s="63" t="s">
        <v>92</v>
      </c>
      <c r="M8" s="64" t="s">
        <v>93</v>
      </c>
      <c r="N8" s="65"/>
    </row>
    <row r="9" ht="15.75" customHeight="1">
      <c r="A9" s="66"/>
      <c r="B9" s="66"/>
      <c r="C9" s="66"/>
      <c r="D9" s="66"/>
      <c r="E9" s="66"/>
      <c r="F9" s="66"/>
      <c r="G9" s="66"/>
      <c r="H9" s="66"/>
      <c r="I9" s="67"/>
      <c r="J9" s="66"/>
      <c r="K9" s="66"/>
      <c r="L9" s="66"/>
      <c r="M9" s="67"/>
      <c r="N9" s="68"/>
    </row>
    <row r="10" ht="123.75" customHeight="1">
      <c r="A10" s="60" t="s">
        <v>94</v>
      </c>
      <c r="B10" s="60" t="s">
        <v>67</v>
      </c>
      <c r="C10" s="69" t="s">
        <v>95</v>
      </c>
      <c r="D10" s="60" t="s">
        <v>96</v>
      </c>
      <c r="E10" s="60" t="s">
        <v>97</v>
      </c>
      <c r="F10" s="60" t="s">
        <v>98</v>
      </c>
      <c r="G10" s="60" t="s">
        <v>99</v>
      </c>
      <c r="H10" s="60" t="s">
        <v>100</v>
      </c>
      <c r="I10" s="70" t="s">
        <v>101</v>
      </c>
      <c r="J10" s="71" t="s">
        <v>102</v>
      </c>
      <c r="K10" s="60"/>
      <c r="L10" s="63" t="s">
        <v>92</v>
      </c>
      <c r="M10" s="64" t="s">
        <v>103</v>
      </c>
      <c r="N10" s="72"/>
    </row>
    <row r="11" ht="15.75" customHeight="1">
      <c r="A11" s="66"/>
      <c r="B11" s="66"/>
      <c r="C11" s="66"/>
      <c r="D11" s="66"/>
      <c r="E11" s="66"/>
      <c r="F11" s="66"/>
      <c r="G11" s="66"/>
      <c r="H11" s="66"/>
      <c r="I11" s="67"/>
      <c r="J11" s="66"/>
      <c r="K11" s="66"/>
      <c r="L11" s="66"/>
      <c r="M11" s="67"/>
      <c r="N11" s="68"/>
    </row>
    <row r="12" ht="123.75" customHeight="1">
      <c r="A12" s="60" t="s">
        <v>104</v>
      </c>
      <c r="B12" s="60" t="s">
        <v>67</v>
      </c>
      <c r="C12" s="69" t="s">
        <v>95</v>
      </c>
      <c r="D12" s="60" t="s">
        <v>96</v>
      </c>
      <c r="E12" s="60" t="s">
        <v>97</v>
      </c>
      <c r="F12" s="60" t="s">
        <v>98</v>
      </c>
      <c r="G12" s="60" t="s">
        <v>105</v>
      </c>
      <c r="H12" s="60" t="s">
        <v>100</v>
      </c>
      <c r="I12" s="70" t="s">
        <v>106</v>
      </c>
      <c r="J12" s="71"/>
      <c r="K12" s="60"/>
      <c r="L12" s="63" t="s">
        <v>92</v>
      </c>
      <c r="M12" s="64" t="s">
        <v>107</v>
      </c>
      <c r="N12" s="72"/>
    </row>
    <row r="13" ht="15.75" customHeight="1">
      <c r="A13" s="66"/>
      <c r="B13" s="66"/>
      <c r="C13" s="66"/>
      <c r="D13" s="66"/>
      <c r="E13" s="66"/>
      <c r="F13" s="66"/>
      <c r="G13" s="66"/>
      <c r="H13" s="66"/>
      <c r="I13" s="67"/>
      <c r="J13" s="66"/>
      <c r="K13" s="66"/>
      <c r="L13" s="66"/>
      <c r="M13" s="67"/>
      <c r="N13" s="68"/>
    </row>
    <row r="14" ht="123.75" customHeight="1">
      <c r="A14" s="60" t="s">
        <v>108</v>
      </c>
      <c r="B14" s="60" t="s">
        <v>67</v>
      </c>
      <c r="C14" s="69" t="s">
        <v>95</v>
      </c>
      <c r="D14" s="60" t="s">
        <v>96</v>
      </c>
      <c r="E14" s="60" t="s">
        <v>97</v>
      </c>
      <c r="F14" s="60" t="s">
        <v>98</v>
      </c>
      <c r="G14" s="60" t="s">
        <v>109</v>
      </c>
      <c r="H14" s="60" t="s">
        <v>100</v>
      </c>
      <c r="I14" s="70" t="s">
        <v>110</v>
      </c>
      <c r="J14" s="71"/>
      <c r="K14" s="60"/>
      <c r="L14" s="63" t="s">
        <v>92</v>
      </c>
      <c r="M14" s="64" t="s">
        <v>111</v>
      </c>
      <c r="N14" s="72"/>
    </row>
    <row r="15" ht="15.75" customHeight="1">
      <c r="A15" s="66"/>
      <c r="B15" s="66"/>
      <c r="C15" s="66"/>
      <c r="D15" s="66"/>
      <c r="E15" s="66"/>
      <c r="F15" s="66"/>
      <c r="G15" s="66"/>
      <c r="H15" s="66"/>
      <c r="I15" s="67"/>
      <c r="J15" s="66"/>
      <c r="K15" s="66"/>
      <c r="L15" s="66"/>
      <c r="M15" s="67"/>
      <c r="N15" s="68"/>
    </row>
    <row r="16" ht="123.75" customHeight="1">
      <c r="A16" s="60" t="s">
        <v>112</v>
      </c>
      <c r="B16" s="60" t="s">
        <v>67</v>
      </c>
      <c r="C16" s="69" t="s">
        <v>95</v>
      </c>
      <c r="D16" s="60" t="s">
        <v>113</v>
      </c>
      <c r="E16" s="60" t="s">
        <v>114</v>
      </c>
      <c r="F16" s="60" t="s">
        <v>115</v>
      </c>
      <c r="G16" s="60" t="s">
        <v>116</v>
      </c>
      <c r="H16" s="60" t="s">
        <v>117</v>
      </c>
      <c r="I16" s="70" t="s">
        <v>118</v>
      </c>
      <c r="J16" s="73"/>
      <c r="K16" s="60"/>
      <c r="L16" s="74" t="s">
        <v>119</v>
      </c>
      <c r="M16" s="64" t="s">
        <v>120</v>
      </c>
      <c r="N16" s="72"/>
    </row>
    <row r="17" ht="15.75" customHeight="1">
      <c r="A17" s="66"/>
      <c r="B17" s="66"/>
      <c r="C17" s="66"/>
      <c r="D17" s="66"/>
      <c r="E17" s="66"/>
      <c r="F17" s="66"/>
      <c r="G17" s="66"/>
      <c r="H17" s="66"/>
      <c r="I17" s="67"/>
      <c r="J17" s="66"/>
      <c r="K17" s="66"/>
      <c r="L17" s="66"/>
      <c r="M17" s="67"/>
      <c r="N17" s="68"/>
    </row>
    <row r="18" ht="71.25" customHeight="1">
      <c r="A18" s="60" t="s">
        <v>121</v>
      </c>
      <c r="B18" s="60" t="s">
        <v>67</v>
      </c>
      <c r="C18" s="9" t="s">
        <v>95</v>
      </c>
      <c r="D18" s="75" t="s">
        <v>122</v>
      </c>
      <c r="E18" s="69" t="s">
        <v>123</v>
      </c>
      <c r="F18" s="60" t="s">
        <v>124</v>
      </c>
      <c r="G18" s="60" t="s">
        <v>125</v>
      </c>
      <c r="H18" s="60" t="s">
        <v>126</v>
      </c>
      <c r="I18" s="70" t="s">
        <v>127</v>
      </c>
      <c r="J18" s="60"/>
      <c r="K18" s="60"/>
      <c r="L18" s="74" t="s">
        <v>119</v>
      </c>
      <c r="M18" s="64" t="s">
        <v>128</v>
      </c>
      <c r="N18" s="72"/>
    </row>
    <row r="19" ht="15.75" customHeight="1">
      <c r="A19" s="76"/>
      <c r="B19" s="76"/>
      <c r="C19" s="76"/>
      <c r="D19" s="76"/>
      <c r="E19" s="76"/>
      <c r="F19" s="76"/>
      <c r="G19" s="76"/>
      <c r="H19" s="76"/>
      <c r="I19" s="77"/>
      <c r="J19" s="76"/>
      <c r="K19" s="76"/>
      <c r="L19" s="76"/>
      <c r="M19" s="77"/>
      <c r="N19" s="78"/>
    </row>
    <row r="20" ht="136.5" customHeight="1">
      <c r="A20" s="60" t="s">
        <v>129</v>
      </c>
      <c r="B20" s="60" t="s">
        <v>67</v>
      </c>
      <c r="C20" s="9" t="s">
        <v>95</v>
      </c>
      <c r="D20" s="75" t="s">
        <v>130</v>
      </c>
      <c r="E20" s="69" t="s">
        <v>131</v>
      </c>
      <c r="F20" s="60" t="s">
        <v>132</v>
      </c>
      <c r="G20" s="60" t="s">
        <v>133</v>
      </c>
      <c r="H20" s="60" t="s">
        <v>134</v>
      </c>
      <c r="I20" s="61" t="s">
        <v>135</v>
      </c>
      <c r="J20" s="79"/>
      <c r="K20" s="79"/>
      <c r="L20" s="74" t="s">
        <v>119</v>
      </c>
      <c r="M20" s="64" t="s">
        <v>136</v>
      </c>
      <c r="N20" s="72"/>
    </row>
    <row r="21" ht="15.75" customHeight="1">
      <c r="A21" s="76"/>
      <c r="B21" s="76"/>
      <c r="C21" s="76"/>
      <c r="D21" s="76"/>
      <c r="E21" s="76"/>
      <c r="F21" s="76"/>
      <c r="G21" s="76"/>
      <c r="H21" s="76"/>
      <c r="I21" s="77"/>
      <c r="J21" s="76"/>
      <c r="K21" s="76"/>
      <c r="L21" s="76"/>
      <c r="M21" s="77"/>
      <c r="N21" s="78"/>
    </row>
    <row r="22" ht="135.75" customHeight="1">
      <c r="A22" s="60" t="s">
        <v>137</v>
      </c>
      <c r="B22" s="60" t="s">
        <v>67</v>
      </c>
      <c r="C22" s="9" t="s">
        <v>95</v>
      </c>
      <c r="D22" s="9" t="s">
        <v>138</v>
      </c>
      <c r="E22" s="69" t="s">
        <v>139</v>
      </c>
      <c r="F22" s="60" t="s">
        <v>140</v>
      </c>
      <c r="G22" s="60" t="s">
        <v>141</v>
      </c>
      <c r="H22" s="60" t="s">
        <v>142</v>
      </c>
      <c r="I22" s="70" t="s">
        <v>143</v>
      </c>
      <c r="J22" s="80" t="s">
        <v>144</v>
      </c>
      <c r="K22" s="79"/>
      <c r="L22" s="81" t="s">
        <v>92</v>
      </c>
      <c r="M22" s="64" t="s">
        <v>145</v>
      </c>
      <c r="N22" s="72"/>
    </row>
    <row r="23" ht="15.75" customHeight="1">
      <c r="A23" s="76"/>
      <c r="B23" s="76"/>
      <c r="C23" s="76"/>
      <c r="D23" s="76"/>
      <c r="E23" s="76"/>
      <c r="F23" s="76"/>
      <c r="G23" s="76"/>
      <c r="H23" s="76"/>
      <c r="I23" s="77"/>
      <c r="J23" s="76"/>
      <c r="K23" s="76"/>
      <c r="L23" s="76"/>
      <c r="M23" s="77"/>
      <c r="N23" s="78"/>
    </row>
    <row r="24" ht="85.5" customHeight="1">
      <c r="A24" s="60" t="s">
        <v>146</v>
      </c>
      <c r="B24" s="60" t="s">
        <v>67</v>
      </c>
      <c r="C24" s="9" t="s">
        <v>95</v>
      </c>
      <c r="D24" s="9" t="s">
        <v>147</v>
      </c>
      <c r="E24" s="69" t="s">
        <v>148</v>
      </c>
      <c r="F24" s="60" t="s">
        <v>140</v>
      </c>
      <c r="G24" s="60" t="s">
        <v>149</v>
      </c>
      <c r="H24" s="60" t="s">
        <v>150</v>
      </c>
      <c r="I24" s="70" t="s">
        <v>151</v>
      </c>
      <c r="J24" s="82"/>
      <c r="K24" s="79"/>
      <c r="L24" s="74" t="s">
        <v>119</v>
      </c>
      <c r="M24" s="64" t="s">
        <v>152</v>
      </c>
      <c r="N24" s="72"/>
    </row>
    <row r="25" ht="15.75" customHeight="1">
      <c r="A25" s="76"/>
      <c r="B25" s="76"/>
      <c r="C25" s="76"/>
      <c r="D25" s="76"/>
      <c r="E25" s="76"/>
      <c r="F25" s="76"/>
      <c r="G25" s="76"/>
      <c r="H25" s="76"/>
      <c r="I25" s="77"/>
      <c r="J25" s="76"/>
      <c r="K25" s="76"/>
      <c r="L25" s="76"/>
      <c r="M25" s="77"/>
      <c r="N25" s="78"/>
    </row>
    <row r="26" ht="123.0" customHeight="1">
      <c r="A26" s="60" t="s">
        <v>153</v>
      </c>
      <c r="B26" s="60" t="s">
        <v>67</v>
      </c>
      <c r="C26" s="9" t="s">
        <v>95</v>
      </c>
      <c r="D26" s="9" t="s">
        <v>154</v>
      </c>
      <c r="E26" s="69" t="s">
        <v>155</v>
      </c>
      <c r="F26" s="60" t="s">
        <v>156</v>
      </c>
      <c r="G26" s="60" t="s">
        <v>157</v>
      </c>
      <c r="H26" s="60" t="s">
        <v>158</v>
      </c>
      <c r="I26" s="70" t="s">
        <v>159</v>
      </c>
      <c r="J26" s="82"/>
      <c r="K26" s="79"/>
      <c r="L26" s="74" t="s">
        <v>119</v>
      </c>
      <c r="M26" s="64" t="s">
        <v>160</v>
      </c>
      <c r="N26" s="72"/>
    </row>
    <row r="27" ht="15.75" customHeight="1">
      <c r="A27" s="76"/>
      <c r="B27" s="76"/>
      <c r="C27" s="76"/>
      <c r="D27" s="76"/>
      <c r="E27" s="76"/>
      <c r="F27" s="76"/>
      <c r="G27" s="76"/>
      <c r="H27" s="76"/>
      <c r="I27" s="77"/>
      <c r="J27" s="76"/>
      <c r="K27" s="76"/>
      <c r="L27" s="76"/>
      <c r="M27" s="77"/>
      <c r="N27" s="78"/>
    </row>
    <row r="28" ht="76.5" customHeight="1">
      <c r="A28" s="60" t="s">
        <v>161</v>
      </c>
      <c r="B28" s="60" t="s">
        <v>67</v>
      </c>
      <c r="C28" s="9" t="s">
        <v>95</v>
      </c>
      <c r="D28" s="9" t="s">
        <v>162</v>
      </c>
      <c r="E28" s="69" t="s">
        <v>163</v>
      </c>
      <c r="F28" s="60" t="s">
        <v>164</v>
      </c>
      <c r="G28" s="60" t="s">
        <v>165</v>
      </c>
      <c r="H28" s="60" t="s">
        <v>166</v>
      </c>
      <c r="I28" s="70" t="s">
        <v>167</v>
      </c>
      <c r="J28" s="79"/>
      <c r="K28" s="79"/>
      <c r="L28" s="74" t="s">
        <v>119</v>
      </c>
      <c r="M28" s="64" t="s">
        <v>168</v>
      </c>
      <c r="N28" s="72"/>
    </row>
    <row r="29" ht="15.75" customHeight="1">
      <c r="A29" s="76"/>
      <c r="B29" s="76"/>
      <c r="C29" s="76"/>
      <c r="D29" s="76"/>
      <c r="E29" s="76"/>
      <c r="F29" s="76"/>
      <c r="G29" s="76"/>
      <c r="H29" s="76"/>
      <c r="I29" s="77"/>
      <c r="J29" s="76"/>
      <c r="K29" s="76"/>
      <c r="L29" s="76"/>
      <c r="M29" s="77"/>
      <c r="N29" s="78"/>
    </row>
    <row r="30">
      <c r="A30" s="60" t="s">
        <v>169</v>
      </c>
      <c r="B30" s="60" t="s">
        <v>67</v>
      </c>
      <c r="C30" s="9" t="s">
        <v>95</v>
      </c>
      <c r="D30" s="9" t="s">
        <v>170</v>
      </c>
      <c r="E30" s="69" t="s">
        <v>171</v>
      </c>
      <c r="F30" s="60" t="s">
        <v>172</v>
      </c>
      <c r="G30" s="60" t="s">
        <v>165</v>
      </c>
      <c r="H30" s="60" t="s">
        <v>173</v>
      </c>
      <c r="I30" s="61" t="s">
        <v>174</v>
      </c>
      <c r="J30" s="79"/>
      <c r="K30" s="79"/>
      <c r="L30" s="74" t="s">
        <v>119</v>
      </c>
      <c r="M30" s="64" t="s">
        <v>175</v>
      </c>
      <c r="N30" s="72"/>
    </row>
    <row r="31" ht="15.75" customHeight="1">
      <c r="A31" s="76"/>
      <c r="B31" s="76"/>
      <c r="C31" s="76"/>
      <c r="D31" s="76"/>
      <c r="E31" s="76"/>
      <c r="F31" s="76"/>
      <c r="G31" s="76"/>
      <c r="H31" s="76"/>
      <c r="I31" s="77"/>
      <c r="J31" s="76"/>
      <c r="K31" s="76"/>
      <c r="L31" s="76"/>
      <c r="M31" s="77"/>
      <c r="N31" s="78"/>
    </row>
    <row r="32" ht="123.0" customHeight="1">
      <c r="A32" s="83" t="s">
        <v>176</v>
      </c>
      <c r="B32" s="83" t="s">
        <v>67</v>
      </c>
      <c r="C32" s="83" t="s">
        <v>95</v>
      </c>
      <c r="D32" s="84" t="s">
        <v>177</v>
      </c>
      <c r="E32" s="84" t="s">
        <v>178</v>
      </c>
      <c r="F32" s="84" t="s">
        <v>179</v>
      </c>
      <c r="G32" s="84" t="s">
        <v>180</v>
      </c>
      <c r="H32" s="83" t="s">
        <v>181</v>
      </c>
      <c r="I32" s="85" t="s">
        <v>182</v>
      </c>
      <c r="J32" s="10"/>
      <c r="K32" s="10"/>
      <c r="L32" s="74" t="s">
        <v>119</v>
      </c>
      <c r="M32" s="86" t="s">
        <v>183</v>
      </c>
      <c r="N32" s="87"/>
    </row>
    <row r="33" ht="15.75" customHeight="1">
      <c r="A33" s="76"/>
      <c r="B33" s="76"/>
      <c r="C33" s="76"/>
      <c r="D33" s="76"/>
      <c r="E33" s="76"/>
      <c r="F33" s="76"/>
      <c r="G33" s="76"/>
      <c r="H33" s="76"/>
      <c r="I33" s="77"/>
      <c r="J33" s="76"/>
      <c r="K33" s="76"/>
      <c r="L33" s="76"/>
      <c r="M33" s="77"/>
      <c r="N33" s="78"/>
    </row>
    <row r="34" ht="107.25" customHeight="1">
      <c r="A34" s="83" t="s">
        <v>184</v>
      </c>
      <c r="B34" s="83" t="s">
        <v>67</v>
      </c>
      <c r="C34" s="83" t="s">
        <v>95</v>
      </c>
      <c r="D34" s="84" t="s">
        <v>185</v>
      </c>
      <c r="E34" s="84" t="s">
        <v>186</v>
      </c>
      <c r="F34" s="84" t="s">
        <v>187</v>
      </c>
      <c r="G34" s="84" t="s">
        <v>188</v>
      </c>
      <c r="H34" s="83" t="s">
        <v>189</v>
      </c>
      <c r="I34" s="61" t="s">
        <v>190</v>
      </c>
      <c r="J34" s="10"/>
      <c r="K34" s="10"/>
      <c r="L34" s="74" t="s">
        <v>119</v>
      </c>
      <c r="M34" s="85" t="s">
        <v>191</v>
      </c>
      <c r="N34" s="88"/>
    </row>
    <row r="35" ht="15.75" customHeight="1">
      <c r="A35" s="76"/>
      <c r="B35" s="76"/>
      <c r="C35" s="76"/>
      <c r="D35" s="76"/>
      <c r="E35" s="76"/>
      <c r="F35" s="76"/>
      <c r="G35" s="76"/>
      <c r="H35" s="76"/>
      <c r="I35" s="77"/>
      <c r="J35" s="76"/>
      <c r="K35" s="76"/>
      <c r="L35" s="76"/>
      <c r="M35" s="77"/>
      <c r="N35" s="78"/>
    </row>
    <row r="36" ht="89.25" customHeight="1">
      <c r="A36" s="83" t="s">
        <v>192</v>
      </c>
      <c r="B36" s="83" t="s">
        <v>67</v>
      </c>
      <c r="C36" s="83" t="s">
        <v>193</v>
      </c>
      <c r="D36" s="84" t="s">
        <v>185</v>
      </c>
      <c r="E36" s="84" t="s">
        <v>194</v>
      </c>
      <c r="F36" s="84" t="s">
        <v>195</v>
      </c>
      <c r="G36" s="84" t="s">
        <v>196</v>
      </c>
      <c r="H36" s="83" t="s">
        <v>197</v>
      </c>
      <c r="I36" s="61" t="s">
        <v>198</v>
      </c>
      <c r="J36" s="10"/>
      <c r="K36" s="10"/>
      <c r="L36" s="74" t="s">
        <v>119</v>
      </c>
      <c r="M36" s="85" t="s">
        <v>199</v>
      </c>
      <c r="N36" s="87"/>
    </row>
    <row r="37" ht="15.75" customHeight="1">
      <c r="A37" s="89"/>
      <c r="B37" s="89"/>
      <c r="C37" s="89"/>
      <c r="D37" s="90"/>
      <c r="E37" s="90"/>
      <c r="F37" s="90"/>
      <c r="G37" s="90"/>
      <c r="H37" s="89"/>
      <c r="I37" s="91"/>
      <c r="J37" s="90"/>
      <c r="K37" s="90"/>
      <c r="L37" s="90"/>
      <c r="M37" s="91"/>
      <c r="N37" s="92"/>
    </row>
    <row r="38" ht="88.5" customHeight="1">
      <c r="A38" s="83" t="s">
        <v>200</v>
      </c>
      <c r="B38" s="83" t="s">
        <v>201</v>
      </c>
      <c r="C38" s="83" t="s">
        <v>95</v>
      </c>
      <c r="D38" s="83" t="s">
        <v>202</v>
      </c>
      <c r="E38" s="83" t="s">
        <v>203</v>
      </c>
      <c r="F38" s="83" t="s">
        <v>204</v>
      </c>
      <c r="G38" s="83" t="s">
        <v>205</v>
      </c>
      <c r="H38" s="83" t="s">
        <v>206</v>
      </c>
      <c r="I38" s="85" t="s">
        <v>207</v>
      </c>
      <c r="J38" s="9"/>
      <c r="K38" s="9"/>
      <c r="L38" s="74" t="s">
        <v>119</v>
      </c>
      <c r="M38" s="85" t="s">
        <v>208</v>
      </c>
      <c r="N38" s="93"/>
    </row>
    <row r="39" ht="15.75" customHeight="1">
      <c r="A39" s="76"/>
      <c r="B39" s="76"/>
      <c r="C39" s="76"/>
      <c r="D39" s="76"/>
      <c r="E39" s="76"/>
      <c r="F39" s="76"/>
      <c r="G39" s="76"/>
      <c r="H39" s="76"/>
      <c r="I39" s="77"/>
      <c r="J39" s="76"/>
      <c r="K39" s="76"/>
      <c r="L39" s="76"/>
      <c r="M39" s="77"/>
      <c r="N39" s="78"/>
    </row>
    <row r="40" ht="74.25" customHeight="1">
      <c r="A40" s="83" t="s">
        <v>209</v>
      </c>
      <c r="B40" s="83" t="s">
        <v>201</v>
      </c>
      <c r="C40" s="83" t="s">
        <v>95</v>
      </c>
      <c r="D40" s="84" t="s">
        <v>210</v>
      </c>
      <c r="E40" s="84" t="s">
        <v>211</v>
      </c>
      <c r="F40" s="84" t="s">
        <v>212</v>
      </c>
      <c r="G40" s="84" t="s">
        <v>213</v>
      </c>
      <c r="H40" s="83" t="s">
        <v>214</v>
      </c>
      <c r="I40" s="85" t="s">
        <v>215</v>
      </c>
      <c r="J40" s="10"/>
      <c r="K40" s="10"/>
      <c r="L40" s="74" t="s">
        <v>119</v>
      </c>
      <c r="M40" s="85" t="s">
        <v>216</v>
      </c>
      <c r="N40" s="88"/>
    </row>
    <row r="41" ht="15.75" customHeight="1">
      <c r="A41" s="76"/>
      <c r="B41" s="76"/>
      <c r="C41" s="76"/>
      <c r="D41" s="76"/>
      <c r="E41" s="76"/>
      <c r="F41" s="76"/>
      <c r="G41" s="76"/>
      <c r="H41" s="76"/>
      <c r="I41" s="77"/>
      <c r="J41" s="76"/>
      <c r="K41" s="76"/>
      <c r="L41" s="76"/>
      <c r="M41" s="77"/>
      <c r="N41" s="78"/>
    </row>
    <row r="42" ht="70.5" customHeight="1">
      <c r="A42" s="83" t="s">
        <v>217</v>
      </c>
      <c r="B42" s="83" t="s">
        <v>201</v>
      </c>
      <c r="C42" s="83" t="s">
        <v>95</v>
      </c>
      <c r="D42" s="83" t="s">
        <v>218</v>
      </c>
      <c r="E42" s="83" t="s">
        <v>219</v>
      </c>
      <c r="F42" s="83" t="s">
        <v>220</v>
      </c>
      <c r="G42" s="83" t="s">
        <v>221</v>
      </c>
      <c r="H42" s="83" t="s">
        <v>222</v>
      </c>
      <c r="I42" s="85" t="s">
        <v>223</v>
      </c>
      <c r="J42" s="9"/>
      <c r="K42" s="9"/>
      <c r="L42" s="74" t="s">
        <v>119</v>
      </c>
      <c r="M42" s="85" t="s">
        <v>224</v>
      </c>
      <c r="N42" s="93"/>
    </row>
    <row r="43" ht="15.75" customHeight="1">
      <c r="A43" s="76"/>
      <c r="B43" s="76"/>
      <c r="C43" s="76"/>
      <c r="D43" s="76"/>
      <c r="E43" s="76"/>
      <c r="F43" s="76"/>
      <c r="G43" s="76"/>
      <c r="H43" s="76"/>
      <c r="I43" s="77"/>
      <c r="J43" s="76"/>
      <c r="K43" s="76"/>
      <c r="L43" s="76"/>
      <c r="M43" s="77"/>
      <c r="N43" s="78"/>
    </row>
    <row r="44" ht="77.25" customHeight="1">
      <c r="A44" s="83" t="s">
        <v>225</v>
      </c>
      <c r="B44" s="83" t="s">
        <v>201</v>
      </c>
      <c r="C44" s="83" t="s">
        <v>95</v>
      </c>
      <c r="D44" s="84" t="s">
        <v>226</v>
      </c>
      <c r="E44" s="84" t="s">
        <v>227</v>
      </c>
      <c r="F44" s="84" t="s">
        <v>228</v>
      </c>
      <c r="G44" s="84" t="s">
        <v>229</v>
      </c>
      <c r="H44" s="83" t="s">
        <v>230</v>
      </c>
      <c r="I44" s="85" t="s">
        <v>231</v>
      </c>
      <c r="J44" s="10"/>
      <c r="K44" s="10"/>
      <c r="L44" s="74" t="s">
        <v>119</v>
      </c>
      <c r="M44" s="85" t="s">
        <v>232</v>
      </c>
      <c r="N44" s="88"/>
    </row>
    <row r="45" ht="15.75" customHeight="1">
      <c r="A45" s="76"/>
      <c r="B45" s="76"/>
      <c r="C45" s="76"/>
      <c r="D45" s="76"/>
      <c r="E45" s="76"/>
      <c r="F45" s="76"/>
      <c r="G45" s="76"/>
      <c r="H45" s="76"/>
      <c r="I45" s="77"/>
      <c r="J45" s="76"/>
      <c r="K45" s="76"/>
      <c r="L45" s="76"/>
      <c r="M45" s="77"/>
      <c r="N45" s="78"/>
    </row>
  </sheetData>
  <mergeCells count="7">
    <mergeCell ref="A1:B1"/>
    <mergeCell ref="L1:M1"/>
    <mergeCell ref="A2:B2"/>
    <mergeCell ref="A3:B3"/>
    <mergeCell ref="A4:B4"/>
    <mergeCell ref="A5:B5"/>
    <mergeCell ref="C5:G5"/>
  </mergeCells>
  <dataValidations>
    <dataValidation type="list" allowBlank="1" sqref="L8 L10 L12 L14 L16 L18:L45">
      <formula1>"Passed,Failed,Not Executed,Out of Scope,Passed (Partialy)"</formula1>
    </dataValidation>
  </dataValidations>
  <hyperlinks>
    <hyperlink r:id="rId1" ref="C1"/>
    <hyperlink r:id="rId2" ref="I8"/>
    <hyperlink r:id="rId3" ref="J8"/>
    <hyperlink r:id="rId4" ref="I10"/>
    <hyperlink r:id="rId5" ref="J10"/>
    <hyperlink r:id="rId6" ref="I12"/>
    <hyperlink r:id="rId7" ref="I14"/>
    <hyperlink r:id="rId8" ref="I16"/>
    <hyperlink r:id="rId9" ref="I18"/>
    <hyperlink r:id="rId10" ref="I20"/>
    <hyperlink r:id="rId11" ref="I22"/>
    <hyperlink r:id="rId12" ref="J22"/>
    <hyperlink r:id="rId13" ref="I24"/>
    <hyperlink r:id="rId14" ref="I26"/>
    <hyperlink r:id="rId15" ref="I28"/>
    <hyperlink r:id="rId16" ref="I30"/>
    <hyperlink r:id="rId17" ref="I34"/>
    <hyperlink r:id="rId18" ref="I36"/>
  </hyperlinks>
  <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7.0"/>
  </cols>
  <sheetData>
    <row r="1" ht="104.25" customHeight="1">
      <c r="A1" s="2" t="s">
        <v>0</v>
      </c>
    </row>
    <row r="2" ht="72.75" customHeight="1">
      <c r="A2" s="2" t="s">
        <v>2</v>
      </c>
    </row>
  </sheetData>
  <hyperlinks>
    <hyperlink r:id="rId1" ref="A1"/>
    <hyperlink r:id="rId2" ref="A2"/>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3" max="3" width="50.88"/>
    <col customWidth="1" min="5" max="5" width="18.88"/>
  </cols>
  <sheetData>
    <row r="1">
      <c r="A1" s="6"/>
      <c r="B1" s="6"/>
      <c r="C1" s="6"/>
      <c r="D1" s="6"/>
      <c r="E1" s="6"/>
      <c r="F1" s="6"/>
      <c r="G1" s="6"/>
      <c r="H1" s="6"/>
      <c r="I1" s="6"/>
      <c r="J1" s="6"/>
      <c r="K1" s="6"/>
      <c r="L1" s="6"/>
      <c r="M1" s="6"/>
      <c r="N1" s="6"/>
      <c r="O1" s="6"/>
      <c r="P1" s="6"/>
      <c r="Q1" s="6"/>
      <c r="R1" s="6"/>
      <c r="S1" s="6"/>
      <c r="T1" s="6"/>
      <c r="U1" s="6"/>
      <c r="V1" s="6"/>
      <c r="W1" s="6"/>
      <c r="X1" s="6"/>
      <c r="Y1" s="6"/>
      <c r="Z1" s="6"/>
    </row>
    <row r="2">
      <c r="A2" s="6"/>
      <c r="B2" s="6"/>
      <c r="C2" s="6"/>
      <c r="D2" s="6"/>
      <c r="E2" s="6"/>
      <c r="F2" s="6"/>
      <c r="G2" s="6"/>
      <c r="H2" s="6"/>
      <c r="I2" s="6"/>
      <c r="J2" s="6"/>
      <c r="K2" s="6"/>
      <c r="L2" s="6"/>
      <c r="M2" s="6"/>
      <c r="N2" s="6"/>
      <c r="O2" s="6"/>
      <c r="P2" s="6"/>
      <c r="Q2" s="6"/>
      <c r="R2" s="6"/>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c r="A4" s="11" t="s">
        <v>8</v>
      </c>
      <c r="B4" s="16" t="s">
        <v>3</v>
      </c>
      <c r="C4" s="3"/>
      <c r="D4" s="6"/>
      <c r="E4" s="6"/>
      <c r="F4" s="6"/>
      <c r="G4" s="6"/>
      <c r="H4" s="6"/>
      <c r="I4" s="6"/>
      <c r="J4" s="6"/>
      <c r="K4" s="6"/>
      <c r="L4" s="6"/>
      <c r="M4" s="6"/>
      <c r="N4" s="6"/>
      <c r="O4" s="6"/>
      <c r="P4" s="6"/>
      <c r="Q4" s="6"/>
      <c r="R4" s="6"/>
      <c r="S4" s="6"/>
      <c r="T4" s="6"/>
      <c r="U4" s="6"/>
      <c r="V4" s="6"/>
      <c r="W4" s="6"/>
      <c r="X4" s="6"/>
      <c r="Y4" s="6"/>
      <c r="Z4" s="6"/>
    </row>
    <row r="5">
      <c r="A5" s="11" t="s">
        <v>14</v>
      </c>
      <c r="B5" s="17"/>
      <c r="C5" s="3"/>
      <c r="D5" s="6"/>
      <c r="E5" s="6"/>
      <c r="F5" s="6"/>
      <c r="G5" s="6"/>
      <c r="H5" s="6"/>
      <c r="I5" s="6"/>
      <c r="J5" s="6"/>
      <c r="K5" s="6"/>
      <c r="L5" s="6"/>
      <c r="M5" s="6"/>
      <c r="N5" s="6"/>
      <c r="O5" s="6"/>
      <c r="P5" s="6"/>
      <c r="Q5" s="6"/>
      <c r="R5" s="6"/>
      <c r="S5" s="6"/>
      <c r="T5" s="6"/>
      <c r="U5" s="6"/>
      <c r="V5" s="6"/>
      <c r="W5" s="6"/>
      <c r="X5" s="6"/>
      <c r="Y5" s="6"/>
      <c r="Z5" s="6"/>
    </row>
    <row r="6">
      <c r="A6" s="11" t="s">
        <v>16</v>
      </c>
      <c r="B6" s="20" t="s">
        <v>17</v>
      </c>
      <c r="C6" s="3"/>
      <c r="D6" s="6"/>
      <c r="E6" s="6"/>
      <c r="F6" s="6"/>
      <c r="G6" s="6"/>
      <c r="H6" s="6"/>
      <c r="I6" s="6"/>
      <c r="J6" s="6"/>
      <c r="K6" s="6"/>
      <c r="L6" s="6"/>
      <c r="M6" s="6"/>
      <c r="N6" s="6"/>
      <c r="O6" s="6"/>
      <c r="P6" s="6"/>
      <c r="Q6" s="6"/>
      <c r="R6" s="6"/>
      <c r="S6" s="6"/>
      <c r="T6" s="6"/>
      <c r="U6" s="6"/>
      <c r="V6" s="6"/>
      <c r="W6" s="6"/>
      <c r="X6" s="6"/>
      <c r="Y6" s="6"/>
      <c r="Z6" s="6"/>
    </row>
    <row r="7">
      <c r="A7" s="11" t="s">
        <v>21</v>
      </c>
      <c r="B7" s="24">
        <v>46207.0</v>
      </c>
      <c r="C7" s="3"/>
      <c r="D7" s="6"/>
      <c r="E7" s="6"/>
      <c r="F7" s="6"/>
      <c r="G7" s="6"/>
      <c r="H7" s="6"/>
      <c r="I7" s="6"/>
      <c r="J7" s="6"/>
      <c r="K7" s="6"/>
      <c r="L7" s="6"/>
      <c r="M7" s="6"/>
      <c r="N7" s="6"/>
      <c r="O7" s="6"/>
      <c r="P7" s="6"/>
      <c r="Q7" s="6"/>
      <c r="R7" s="6"/>
      <c r="S7" s="6"/>
      <c r="T7" s="6"/>
      <c r="U7" s="6"/>
      <c r="V7" s="6"/>
      <c r="W7" s="6"/>
      <c r="X7" s="6"/>
      <c r="Y7" s="6"/>
      <c r="Z7" s="6"/>
    </row>
    <row r="8">
      <c r="A8" s="11" t="s">
        <v>24</v>
      </c>
      <c r="B8" s="26" t="s">
        <v>27</v>
      </c>
      <c r="C8" s="3"/>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28"/>
      <c r="B13" s="29"/>
      <c r="C13" s="30"/>
      <c r="D13" s="28"/>
      <c r="E13" s="28"/>
      <c r="F13" s="6"/>
      <c r="G13" s="6"/>
      <c r="H13" s="6"/>
      <c r="I13" s="6"/>
      <c r="J13" s="6"/>
      <c r="K13" s="6"/>
      <c r="L13" s="6"/>
      <c r="M13" s="6"/>
      <c r="N13" s="6"/>
      <c r="O13" s="6"/>
      <c r="P13" s="6"/>
      <c r="Q13" s="6"/>
      <c r="R13" s="6"/>
      <c r="S13" s="6"/>
      <c r="T13" s="6"/>
      <c r="U13" s="6"/>
      <c r="V13" s="6"/>
      <c r="W13" s="6"/>
      <c r="X13" s="6"/>
      <c r="Y13" s="6"/>
      <c r="Z13" s="6"/>
    </row>
    <row r="14">
      <c r="A14" s="31" t="s">
        <v>30</v>
      </c>
      <c r="B14" s="32" t="s">
        <v>31</v>
      </c>
      <c r="C14" s="33" t="s">
        <v>33</v>
      </c>
      <c r="D14" s="31" t="s">
        <v>34</v>
      </c>
      <c r="E14" s="31" t="s">
        <v>35</v>
      </c>
      <c r="F14" s="6"/>
      <c r="G14" s="6"/>
      <c r="H14" s="6"/>
      <c r="I14" s="6"/>
      <c r="J14" s="6"/>
      <c r="K14" s="6"/>
      <c r="L14" s="6"/>
      <c r="M14" s="6"/>
      <c r="N14" s="6"/>
      <c r="O14" s="6"/>
      <c r="P14" s="6"/>
      <c r="Q14" s="6"/>
      <c r="R14" s="6"/>
      <c r="S14" s="6"/>
      <c r="T14" s="6"/>
      <c r="U14" s="6"/>
      <c r="V14" s="6"/>
      <c r="W14" s="6"/>
      <c r="X14" s="6"/>
      <c r="Y14" s="6"/>
      <c r="Z14" s="6"/>
    </row>
    <row r="15">
      <c r="A15" s="35" t="s">
        <v>36</v>
      </c>
      <c r="B15" s="36"/>
      <c r="C15" s="38" t="s">
        <v>37</v>
      </c>
      <c r="D15" s="40" t="s">
        <v>38</v>
      </c>
      <c r="E15" s="35">
        <v>1.0</v>
      </c>
      <c r="F15" s="6"/>
      <c r="G15" s="6"/>
      <c r="H15" s="6"/>
      <c r="I15" s="6"/>
      <c r="J15" s="6"/>
      <c r="K15" s="6"/>
      <c r="L15" s="6"/>
      <c r="M15" s="6"/>
      <c r="N15" s="6"/>
      <c r="O15" s="6"/>
      <c r="P15" s="6"/>
      <c r="Q15" s="6"/>
      <c r="R15" s="6"/>
      <c r="S15" s="6"/>
      <c r="T15" s="6"/>
      <c r="U15" s="6"/>
      <c r="V15" s="6"/>
      <c r="W15" s="6"/>
      <c r="X15" s="6"/>
      <c r="Y15" s="6"/>
      <c r="Z15" s="6"/>
    </row>
    <row r="16">
      <c r="A16" s="41" t="s">
        <v>39</v>
      </c>
      <c r="B16" s="36"/>
      <c r="C16" s="38" t="s">
        <v>41</v>
      </c>
      <c r="D16" s="43" t="s">
        <v>42</v>
      </c>
      <c r="E16" s="40">
        <v>3.0</v>
      </c>
      <c r="F16" s="6"/>
      <c r="G16" s="6"/>
      <c r="H16" s="6"/>
      <c r="I16" s="6"/>
      <c r="J16" s="6"/>
      <c r="K16" s="6"/>
      <c r="L16" s="6"/>
      <c r="M16" s="6"/>
      <c r="N16" s="6"/>
      <c r="O16" s="6"/>
      <c r="P16" s="6"/>
      <c r="Q16" s="6"/>
      <c r="R16" s="6"/>
      <c r="S16" s="6"/>
      <c r="T16" s="6"/>
      <c r="U16" s="6"/>
      <c r="V16" s="6"/>
      <c r="W16" s="6"/>
      <c r="X16" s="6"/>
      <c r="Y16" s="6"/>
      <c r="Z16" s="6"/>
    </row>
    <row r="17">
      <c r="A17" s="44"/>
      <c r="B17" s="46"/>
      <c r="C17" s="48"/>
      <c r="D17" s="44"/>
      <c r="E17" s="44"/>
      <c r="F17" s="6"/>
      <c r="G17" s="6"/>
      <c r="H17" s="6"/>
      <c r="I17" s="6"/>
      <c r="J17" s="6"/>
      <c r="K17" s="6"/>
      <c r="L17" s="6"/>
      <c r="M17" s="6"/>
      <c r="N17" s="6"/>
      <c r="O17" s="6"/>
      <c r="P17" s="6"/>
      <c r="Q17" s="6"/>
      <c r="R17" s="6"/>
      <c r="S17" s="6"/>
      <c r="T17" s="6"/>
      <c r="U17" s="6"/>
      <c r="V17" s="6"/>
      <c r="W17" s="6"/>
      <c r="X17" s="6"/>
      <c r="Y17" s="6"/>
      <c r="Z17" s="6"/>
    </row>
    <row r="18">
      <c r="A18" s="40" t="s">
        <v>43</v>
      </c>
      <c r="B18" s="36"/>
      <c r="C18" s="38" t="s">
        <v>44</v>
      </c>
      <c r="D18" s="50" t="s">
        <v>46</v>
      </c>
      <c r="E18" s="40">
        <v>1.0</v>
      </c>
      <c r="F18" s="6"/>
      <c r="G18" s="6"/>
      <c r="H18" s="6"/>
      <c r="I18" s="6"/>
      <c r="J18" s="6"/>
      <c r="K18" s="6"/>
      <c r="L18" s="6"/>
      <c r="M18" s="6"/>
      <c r="N18" s="6"/>
      <c r="O18" s="6"/>
      <c r="P18" s="6"/>
      <c r="Q18" s="6"/>
      <c r="R18" s="6"/>
      <c r="S18" s="6"/>
      <c r="T18" s="6"/>
      <c r="U18" s="6"/>
      <c r="V18" s="6"/>
      <c r="W18" s="6"/>
      <c r="X18" s="6"/>
      <c r="Y18" s="6"/>
      <c r="Z18" s="6"/>
    </row>
    <row r="19">
      <c r="A19" s="51"/>
      <c r="B19" s="53"/>
      <c r="C19" s="55"/>
      <c r="D19" s="51"/>
      <c r="E19" s="51"/>
      <c r="F19" s="6"/>
      <c r="G19" s="6"/>
      <c r="H19" s="6"/>
      <c r="I19" s="6"/>
      <c r="J19" s="6"/>
      <c r="K19" s="6"/>
      <c r="L19" s="6"/>
      <c r="M19" s="6"/>
      <c r="N19" s="6"/>
      <c r="O19" s="6"/>
      <c r="P19" s="6"/>
      <c r="Q19" s="6"/>
      <c r="R19" s="6"/>
      <c r="S19" s="6"/>
      <c r="T19" s="6"/>
      <c r="U19" s="6"/>
      <c r="V19" s="6"/>
      <c r="W19" s="6"/>
      <c r="X19" s="6"/>
      <c r="Y19" s="6"/>
      <c r="Z19" s="6"/>
    </row>
    <row r="20">
      <c r="A20" s="40" t="s">
        <v>49</v>
      </c>
      <c r="B20" s="36"/>
      <c r="C20" s="38" t="s">
        <v>51</v>
      </c>
      <c r="D20" s="58" t="s">
        <v>42</v>
      </c>
      <c r="E20" s="40">
        <v>1.0</v>
      </c>
      <c r="F20" s="6"/>
      <c r="G20" s="6"/>
      <c r="H20" s="6"/>
      <c r="I20" s="6"/>
      <c r="J20" s="6"/>
      <c r="K20" s="6"/>
      <c r="L20" s="6"/>
      <c r="M20" s="6"/>
      <c r="N20" s="6"/>
      <c r="O20" s="6"/>
      <c r="P20" s="6"/>
      <c r="Q20" s="6"/>
      <c r="R20" s="6"/>
      <c r="S20" s="6"/>
      <c r="T20" s="6"/>
      <c r="U20" s="6"/>
      <c r="V20" s="6"/>
      <c r="W20" s="6"/>
      <c r="X20" s="6"/>
      <c r="Y20" s="6"/>
      <c r="Z20" s="6"/>
    </row>
    <row r="21">
      <c r="A21" s="40" t="s">
        <v>62</v>
      </c>
      <c r="B21" s="36"/>
      <c r="C21" s="38" t="s">
        <v>63</v>
      </c>
      <c r="D21" s="50" t="s">
        <v>38</v>
      </c>
      <c r="E21" s="43">
        <v>1.0</v>
      </c>
      <c r="F21" s="6"/>
      <c r="G21" s="6"/>
      <c r="H21" s="6"/>
      <c r="I21" s="6"/>
      <c r="J21" s="6"/>
      <c r="K21" s="6"/>
      <c r="L21" s="6"/>
      <c r="M21" s="6"/>
      <c r="N21" s="6"/>
      <c r="O21" s="6"/>
      <c r="P21" s="6"/>
      <c r="Q21" s="6"/>
      <c r="R21" s="6"/>
      <c r="S21" s="6"/>
      <c r="T21" s="6"/>
      <c r="U21" s="6"/>
      <c r="V21" s="6"/>
      <c r="W21" s="6"/>
      <c r="X21" s="6"/>
      <c r="Y21" s="6"/>
      <c r="Z21" s="6"/>
    </row>
    <row r="22">
      <c r="A22" s="40" t="s">
        <v>65</v>
      </c>
      <c r="B22" s="36"/>
      <c r="C22" s="38" t="s">
        <v>66</v>
      </c>
      <c r="D22" s="50" t="s">
        <v>38</v>
      </c>
      <c r="E22" s="35">
        <v>1.0</v>
      </c>
      <c r="F22" s="6"/>
      <c r="G22" s="6"/>
      <c r="H22" s="6"/>
      <c r="I22" s="6"/>
      <c r="J22" s="6"/>
      <c r="K22" s="6"/>
      <c r="L22" s="6"/>
      <c r="M22" s="6"/>
      <c r="N22" s="6"/>
      <c r="O22" s="6"/>
      <c r="P22" s="6"/>
      <c r="Q22" s="6"/>
      <c r="R22" s="6"/>
      <c r="S22" s="6"/>
      <c r="T22" s="6"/>
      <c r="U22" s="6"/>
      <c r="V22" s="6"/>
      <c r="W22" s="6"/>
      <c r="X22" s="6"/>
      <c r="Y22" s="6"/>
      <c r="Z22" s="6"/>
    </row>
    <row r="23">
      <c r="A23" s="40" t="s">
        <v>72</v>
      </c>
      <c r="B23" s="36"/>
      <c r="C23" s="38" t="s">
        <v>74</v>
      </c>
      <c r="D23" s="50" t="s">
        <v>38</v>
      </c>
      <c r="E23" s="35">
        <v>1.0</v>
      </c>
      <c r="F23" s="6"/>
      <c r="G23" s="6"/>
      <c r="H23" s="6"/>
      <c r="I23" s="6"/>
      <c r="J23" s="6"/>
      <c r="K23" s="6"/>
      <c r="L23" s="6"/>
      <c r="M23" s="6"/>
      <c r="N23" s="6"/>
      <c r="O23" s="6"/>
      <c r="P23" s="6"/>
      <c r="Q23" s="6"/>
      <c r="R23" s="6"/>
      <c r="S23" s="6"/>
      <c r="T23" s="6"/>
      <c r="U23" s="6"/>
      <c r="V23" s="6"/>
      <c r="W23" s="6"/>
      <c r="X23" s="6"/>
      <c r="Y23" s="6"/>
      <c r="Z23" s="6"/>
    </row>
    <row r="24">
      <c r="A24" s="40" t="s">
        <v>76</v>
      </c>
      <c r="B24" s="36"/>
      <c r="C24" s="38" t="s">
        <v>77</v>
      </c>
      <c r="D24" s="50" t="s">
        <v>38</v>
      </c>
      <c r="E24" s="35">
        <v>1.0</v>
      </c>
      <c r="F24" s="6"/>
      <c r="G24" s="6"/>
      <c r="H24" s="6"/>
      <c r="I24" s="6"/>
      <c r="J24" s="6"/>
      <c r="K24" s="6"/>
      <c r="L24" s="6"/>
      <c r="M24" s="6"/>
      <c r="N24" s="6"/>
      <c r="O24" s="6"/>
      <c r="P24" s="6"/>
      <c r="Q24" s="6"/>
      <c r="R24" s="6"/>
      <c r="S24" s="6"/>
      <c r="T24" s="6"/>
      <c r="U24" s="6"/>
      <c r="V24" s="6"/>
      <c r="W24" s="6"/>
      <c r="X24" s="6"/>
      <c r="Y24" s="6"/>
      <c r="Z24" s="6"/>
    </row>
    <row r="25">
      <c r="A25" s="40" t="s">
        <v>79</v>
      </c>
      <c r="B25" s="36"/>
      <c r="C25" s="38" t="s">
        <v>80</v>
      </c>
      <c r="D25" s="50" t="s">
        <v>42</v>
      </c>
      <c r="E25" s="40">
        <v>2.0</v>
      </c>
      <c r="F25" s="6"/>
      <c r="G25" s="6"/>
      <c r="H25" s="6"/>
      <c r="I25" s="6"/>
      <c r="J25" s="6"/>
      <c r="K25" s="6"/>
      <c r="L25" s="6"/>
      <c r="M25" s="6"/>
      <c r="N25" s="6"/>
      <c r="O25" s="6"/>
      <c r="P25" s="6"/>
      <c r="Q25" s="6"/>
      <c r="R25" s="6"/>
      <c r="S25" s="6"/>
      <c r="T25" s="6"/>
      <c r="U25" s="6"/>
      <c r="V25" s="6"/>
      <c r="W25" s="6"/>
      <c r="X25" s="6"/>
      <c r="Y25" s="6"/>
      <c r="Z25" s="6"/>
    </row>
    <row r="26">
      <c r="A26" s="40" t="s">
        <v>81</v>
      </c>
      <c r="B26" s="36"/>
      <c r="C26" s="38" t="s">
        <v>82</v>
      </c>
      <c r="D26" s="50" t="s">
        <v>83</v>
      </c>
      <c r="E26" s="40">
        <v>1.0</v>
      </c>
      <c r="F26" s="6"/>
      <c r="G26" s="6"/>
      <c r="H26" s="6"/>
      <c r="I26" s="6"/>
      <c r="J26" s="6"/>
      <c r="K26" s="6"/>
      <c r="L26" s="6"/>
      <c r="M26" s="6"/>
      <c r="N26" s="6"/>
      <c r="O26" s="6"/>
      <c r="P26" s="6"/>
      <c r="Q26" s="6"/>
      <c r="R26" s="6"/>
      <c r="S26" s="6"/>
      <c r="T26" s="6"/>
      <c r="U26" s="6"/>
      <c r="V26" s="6"/>
      <c r="W26" s="6"/>
      <c r="X26" s="6"/>
      <c r="Y26" s="6"/>
      <c r="Z26" s="6"/>
    </row>
    <row r="27">
      <c r="A27" s="40" t="s">
        <v>84</v>
      </c>
      <c r="B27" s="36"/>
      <c r="C27" s="38" t="s">
        <v>85</v>
      </c>
      <c r="D27" s="50" t="s">
        <v>42</v>
      </c>
      <c r="E27" s="40">
        <v>2.0</v>
      </c>
      <c r="F27" s="6"/>
      <c r="G27" s="6"/>
      <c r="H27" s="6"/>
      <c r="I27" s="6"/>
      <c r="J27" s="6"/>
      <c r="K27" s="6"/>
      <c r="L27" s="6"/>
      <c r="M27" s="6"/>
      <c r="N27" s="6"/>
      <c r="O27" s="6"/>
      <c r="P27" s="6"/>
      <c r="Q27" s="6"/>
      <c r="R27" s="6"/>
      <c r="S27" s="6"/>
      <c r="T27" s="6"/>
      <c r="U27" s="6"/>
      <c r="V27" s="6"/>
      <c r="W27" s="6"/>
      <c r="X27" s="6"/>
      <c r="Y27" s="6"/>
      <c r="Z27" s="6"/>
    </row>
    <row r="28">
      <c r="A28" s="40" t="s">
        <v>86</v>
      </c>
      <c r="B28" s="36"/>
      <c r="C28" s="38" t="s">
        <v>87</v>
      </c>
      <c r="D28" s="50" t="s">
        <v>42</v>
      </c>
      <c r="E28" s="35">
        <v>1.0</v>
      </c>
      <c r="F28" s="6"/>
      <c r="G28" s="6"/>
      <c r="H28" s="6"/>
      <c r="I28" s="6"/>
      <c r="J28" s="6"/>
      <c r="K28" s="6"/>
      <c r="L28" s="6"/>
      <c r="M28" s="6"/>
      <c r="N28" s="6"/>
      <c r="O28" s="6"/>
      <c r="P28" s="6"/>
      <c r="Q28" s="6"/>
      <c r="R28" s="6"/>
      <c r="S28" s="6"/>
      <c r="T28" s="6"/>
      <c r="U28" s="6"/>
      <c r="V28" s="6"/>
      <c r="W28" s="6"/>
      <c r="X28" s="6"/>
      <c r="Y28" s="6"/>
      <c r="Z28" s="6"/>
    </row>
    <row r="29">
      <c r="A29" s="40" t="s">
        <v>88</v>
      </c>
      <c r="B29" s="36"/>
      <c r="C29" s="38" t="s">
        <v>89</v>
      </c>
      <c r="D29" s="50" t="s">
        <v>90</v>
      </c>
      <c r="E29" s="40">
        <v>3.0</v>
      </c>
      <c r="F29" s="6"/>
      <c r="G29" s="6"/>
      <c r="H29" s="6"/>
      <c r="I29" s="6"/>
      <c r="J29" s="6"/>
      <c r="K29" s="6"/>
      <c r="L29" s="6"/>
      <c r="M29" s="6"/>
      <c r="N29" s="6"/>
      <c r="O29" s="6"/>
      <c r="P29" s="6"/>
      <c r="Q29" s="6"/>
      <c r="R29" s="6"/>
      <c r="S29" s="6"/>
      <c r="T29" s="6"/>
      <c r="U29" s="6"/>
      <c r="V29" s="6"/>
      <c r="W29" s="6"/>
      <c r="X29" s="6"/>
      <c r="Y29" s="6"/>
      <c r="Z29" s="6"/>
    </row>
  </sheetData>
  <mergeCells count="5">
    <mergeCell ref="B4:C4"/>
    <mergeCell ref="B5:C5"/>
    <mergeCell ref="B6:C6"/>
    <mergeCell ref="B7:C7"/>
    <mergeCell ref="B8:C8"/>
  </mergeCells>
  <hyperlinks>
    <hyperlink r:id="rId1" ref="B4"/>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5.5"/>
  </cols>
  <sheetData>
    <row r="1" ht="457.5" customHeight="1">
      <c r="A1" s="7"/>
    </row>
  </sheetData>
  <drawing r:id="rId1"/>
</worksheet>
</file>